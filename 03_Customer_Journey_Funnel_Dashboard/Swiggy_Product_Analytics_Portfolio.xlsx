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13_ncr:1_{DFFEF757-AC99-42AB-8B0E-42B2448F24F6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Cover" sheetId="1" r:id="rId1"/>
    <sheet name="Raw_Data" sheetId="2" r:id="rId2"/>
    <sheet name="Monthly_Summary" sheetId="11" r:id="rId3"/>
    <sheet name="Customer_Journey_Funnel" sheetId="9" r:id="rId4"/>
    <sheet name="KPI_Dashboard_Data" sheetId="3" r:id="rId5"/>
    <sheet name="Business_Insights" sheetId="6" r:id="rId6"/>
    <sheet name="Recommendations" sheetId="7" r:id="rId7"/>
  </sheets>
  <definedNames>
    <definedName name="_xlchart.v2.0" hidden="1">Customer_Journey_Funnel!$A$2:$A$7</definedName>
    <definedName name="_xlchart.v2.1" hidden="1">Customer_Journey_Funnel!$B$1</definedName>
    <definedName name="_xlchart.v2.2" hidden="1">Customer_Journey_Funnel!$B$2:$B$7</definedName>
    <definedName name="_xlchart.v2.3" hidden="1">KPI_Dashboard_Data!$A$2:$A$7</definedName>
    <definedName name="_xlchart.v2.4" hidden="1">KPI_Dashboard_Data!$B$2:$B$7</definedName>
    <definedName name="_xlchart.v2.5" hidden="1">KPI_Dashboard_Data!$A$2:$A$7</definedName>
    <definedName name="_xlchart.v2.6" hidden="1">KPI_Dashboard_Data!$B$2:$B$7</definedName>
    <definedName name="_xlcn.WorksheetConnection_Raw_DataA1N1451" hidden="1">Raw_Data!$A$1:$N$145</definedName>
  </definedNames>
  <calcPr calcId="191029"/>
  <pivotCaches>
    <pivotCache cacheId="0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Raw_Data!$A$1:$N$14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E5" i="9"/>
  <c r="D5" i="9"/>
  <c r="D4" i="9"/>
  <c r="D3" i="9"/>
  <c r="C7" i="9"/>
  <c r="C6" i="9"/>
  <c r="C5" i="9"/>
  <c r="C4" i="9"/>
  <c r="C3" i="9"/>
  <c r="B6" i="9"/>
  <c r="B7" i="9"/>
  <c r="B4" i="9"/>
  <c r="B5" i="9"/>
  <c r="B3" i="9"/>
  <c r="B2" i="9"/>
  <c r="B7" i="3"/>
  <c r="B6" i="3"/>
  <c r="B5" i="3"/>
  <c r="B4" i="3"/>
  <c r="B3" i="3"/>
  <c r="E3" i="9" l="1"/>
  <c r="E4" i="9"/>
  <c r="D6" i="9" l="1"/>
  <c r="E6" i="9" s="1"/>
  <c r="D7" i="9" l="1"/>
  <c r="E7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DF5F27-D5AD-45C8-9289-A54A75F185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2090D8C-E487-4799-A159-096C6260E962}" name="WorksheetConnection_Raw_Data!$A$1:$N$14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aw_DataA1N1451"/>
        </x15:connection>
      </ext>
    </extLst>
  </connection>
</connections>
</file>

<file path=xl/sharedStrings.xml><?xml version="1.0" encoding="utf-8"?>
<sst xmlns="http://schemas.openxmlformats.org/spreadsheetml/2006/main" count="965" uniqueCount="111">
  <si>
    <t>Swiggy Product Analytics Portfolio</t>
  </si>
  <si>
    <t>Business Objective</t>
  </si>
  <si>
    <t>Analyze the customer journey, identify funnel drop-offs, and recommend product improvements.</t>
  </si>
  <si>
    <t>Skills Demonstrated</t>
  </si>
  <si>
    <t>Advanced Excel, Product Analytics, KPI Design, Dashboarding, Business Analysis</t>
  </si>
  <si>
    <t>Order ID</t>
  </si>
  <si>
    <t>Date</t>
  </si>
  <si>
    <t>Month</t>
  </si>
  <si>
    <t>City</t>
  </si>
  <si>
    <t>Device</t>
  </si>
  <si>
    <t>User Type</t>
  </si>
  <si>
    <t>Category</t>
  </si>
  <si>
    <t>Visitors</t>
  </si>
  <si>
    <t>Signups</t>
  </si>
  <si>
    <t>Restaurant Views</t>
  </si>
  <si>
    <t>Add to Cart</t>
  </si>
  <si>
    <t>Checkout</t>
  </si>
  <si>
    <t>Orders</t>
  </si>
  <si>
    <t>Revenue</t>
  </si>
  <si>
    <t>Rating</t>
  </si>
  <si>
    <t>Delivery Time</t>
  </si>
  <si>
    <t>Coupon</t>
  </si>
  <si>
    <t>Jan</t>
  </si>
  <si>
    <t>Pune</t>
  </si>
  <si>
    <t>iOS</t>
  </si>
  <si>
    <t>Returning</t>
  </si>
  <si>
    <t>Pizza</t>
  </si>
  <si>
    <t>No</t>
  </si>
  <si>
    <t>Hyderabad</t>
  </si>
  <si>
    <t>New</t>
  </si>
  <si>
    <t>Desserts</t>
  </si>
  <si>
    <t>Bengaluru</t>
  </si>
  <si>
    <t>Web</t>
  </si>
  <si>
    <t>Yes</t>
  </si>
  <si>
    <t>Chennai</t>
  </si>
  <si>
    <t>Chinese</t>
  </si>
  <si>
    <t>South Indian</t>
  </si>
  <si>
    <t>Android</t>
  </si>
  <si>
    <t>Feb</t>
  </si>
  <si>
    <t>Biryani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</si>
  <si>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</si>
  <si>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</si>
  <si>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</si>
  <si>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</si>
  <si>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</si>
  <si>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</si>
  <si>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</si>
  <si>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</si>
  <si>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</si>
  <si>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</si>
  <si>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Metric</t>
  </si>
  <si>
    <t>Value</t>
  </si>
  <si>
    <t>Total Visitors</t>
  </si>
  <si>
    <t>Total Orders</t>
  </si>
  <si>
    <t>Total Revenue</t>
  </si>
  <si>
    <t>Overall Conversion</t>
  </si>
  <si>
    <t>Avg Rating</t>
  </si>
  <si>
    <t>Avg Delivery Time</t>
  </si>
  <si>
    <t>Detailed Product Insights</t>
  </si>
  <si>
    <t>1. Visitor traffic shows a consistent upward trend throughout the year, indicating successful acquisition efforts.</t>
  </si>
  <si>
    <t>2. Signup conversion averages around 48%, suggesting onboarding is effective but still has room for improvement.</t>
  </si>
  <si>
    <t>3. The largest drop-off occurs between Restaurant Views and Add to Cart, making discovery the biggest optimization opportunity.</t>
  </si>
  <si>
    <t>4. Checkout completion remains consistently high, indicating a healthy payment experience.</t>
  </si>
  <si>
    <t>5. Revenue grows in line with completed orders, showing stable monetization.</t>
  </si>
  <si>
    <t>6. Returning customers generally contribute higher revenue than new users.</t>
  </si>
  <si>
    <t>7. Mobile users account for the majority of traffic, reinforcing a mobile-first product strategy.</t>
  </si>
  <si>
    <t>8. Delivery time above 40 minutes correlates with lower customer ratings.</t>
  </si>
  <si>
    <t>9. Coupons improve conversion but should be targeted to avoid unnecessary discounting.</t>
  </si>
  <si>
    <t>10. Fast Food and Biryani categories drive the highest order volume.</t>
  </si>
  <si>
    <t>11. Personalization can improve Add-to-Cart conversion.</t>
  </si>
  <si>
    <t>12. A/B testing restaurant ranking could improve engagement.</t>
  </si>
  <si>
    <t>13. Loyalty rewards can increase repeat purchases.</t>
  </si>
  <si>
    <t>14. Monitoring weekly KPIs enables proactive decision-making.</t>
  </si>
  <si>
    <t>15. Dashboard should be reviewed during sprint planning and product reviews.</t>
  </si>
  <si>
    <t>Priority</t>
  </si>
  <si>
    <t>Recommendation</t>
  </si>
  <si>
    <t>Expected Impact</t>
  </si>
  <si>
    <t>High</t>
  </si>
  <si>
    <t>Improve restaurant recommendations</t>
  </si>
  <si>
    <t>Higher Add-to-Cart</t>
  </si>
  <si>
    <t>Personalized offers</t>
  </si>
  <si>
    <t>Higher retention</t>
  </si>
  <si>
    <t>Medium</t>
  </si>
  <si>
    <t>One-click reorder</t>
  </si>
  <si>
    <t>Increase repeat orders</t>
  </si>
  <si>
    <t>Google/Apple sign-in</t>
  </si>
  <si>
    <t>Higher signup conversion</t>
  </si>
  <si>
    <t>Low</t>
  </si>
  <si>
    <t>Restaurant badges</t>
  </si>
  <si>
    <t>Improve discovery</t>
  </si>
  <si>
    <t>Stage</t>
  </si>
  <si>
    <t>Users</t>
  </si>
  <si>
    <t>Drop-off</t>
  </si>
  <si>
    <t>Drop-off %</t>
  </si>
  <si>
    <t>Sign-ups</t>
  </si>
  <si>
    <t>Checkout Started</t>
  </si>
  <si>
    <t>Orders Completed</t>
  </si>
  <si>
    <t>Conversion %</t>
  </si>
  <si>
    <t>Conversion Rate = (Current Stage ÷ Previous Stage) × 100</t>
  </si>
  <si>
    <t>Drop-off = Previous Stage − Current Stage</t>
  </si>
  <si>
    <t>Drop-off %=Previous StagePrevious Stage−Current Stage​×100</t>
  </si>
  <si>
    <t>Row Labels</t>
  </si>
  <si>
    <t>Grand Total</t>
  </si>
  <si>
    <t>Sum of Visitors</t>
  </si>
  <si>
    <t>Sum of Signups</t>
  </si>
  <si>
    <t>Sum of Restaurant Views</t>
  </si>
  <si>
    <t>Sum of Add to Cart</t>
  </si>
  <si>
    <t>Sum of Checkout</t>
  </si>
  <si>
    <t>Sum of Orders</t>
  </si>
  <si>
    <t>Sum of Revenue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</si>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</sst>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7">
    <font>
      <sz val="11"/>
      <color theme="1"/>
      <name val="Calibri"/>
      <family val="2"/>
      <scheme val="minor"/>
    </font>
    <font>
      <b/>
      <sz val="22"/>
      <name val="Calibri"/>
    </font>
    <font>
      <b/>
      <sz val="11"/>
      <color rgb="FFFFFFFF"/>
      <name val="Calibri"/>
    </font>
    <font>
      <b/>
      <sz val="11"/>
      <name val="Calibri"/>
    </font>
    <font>
      <b/>
      <sz val="18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1" xfId="0" applyBorder="1"/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10" fontId="0" fillId="0" borderId="1" xfId="0" applyNumberFormat="1" applyBorder="1"/>
    <xf numFmtId="165" fontId="0" fillId="0" borderId="1" xfId="0" applyNumberFormat="1" applyBorder="1"/>
    <xf numFmtId="0" fontId="5" fillId="3" borderId="1" xfId="0" applyFont="1" applyFill="1" applyBorder="1"/>
    <xf numFmtId="0" fontId="4" fillId="3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Funnel Drop Offs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Funnel Drop Offs</a:t>
          </a:r>
        </a:p>
      </cx:txPr>
    </cx:title>
    <cx:plotArea>
      <cx:plotAreaRegion>
        <cx:series layoutId="funnel" uniqueId="{00000000-CA59-436B-818B-644B5CBAC37F}">
          <cx:tx>
            <cx:txData>
              <cx:f>_xlchart.v2.1</cx:f>
              <cx:v>Users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_xlchart.v2.4</cx:f>
      </cx:numDim>
    </cx:data>
  </cx:chartData>
  <cx:chart>
    <cx:title pos="t" align="ctr" overlay="0">
      <cx:tx>
        <cx:txData>
          <cx:v>KPI Values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KPI Values </a:t>
          </a:r>
        </a:p>
      </cx:txPr>
    </cx:title>
    <cx:plotArea>
      <cx:plotAreaRegion>
        <cx:series layoutId="funnel" uniqueId="{6BE60241-C52B-4983-A97F-085514A440E7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7</xdr:row>
      <xdr:rowOff>144780</xdr:rowOff>
    </xdr:from>
    <xdr:to>
      <xdr:col>6</xdr:col>
      <xdr:colOff>45720</xdr:colOff>
      <xdr:row>20</xdr:row>
      <xdr:rowOff>45720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20247C0-4845-4C6D-1A93-8A2858B513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360" y="1607820"/>
              <a:ext cx="8976360" cy="2278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6</xdr:row>
      <xdr:rowOff>41910</xdr:rowOff>
    </xdr:from>
    <xdr:to>
      <xdr:col>14</xdr:col>
      <xdr:colOff>106680</xdr:colOff>
      <xdr:row>21</xdr:row>
      <xdr:rowOff>41910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03B14D9-9BE2-6E79-40D0-9651691C46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veenkumar upputuri" refreshedDate="46234.753707523145" backgroundQuery="1" createdVersion="8" refreshedVersion="8" minRefreshableVersion="3" recordCount="0" supportSubquery="1" supportAdvancedDrill="1" xr:uid="{367828D5-5E12-492C-9B6E-B01200F5361E}">
  <cacheSource type="external" connectionId="1"/>
  <cacheFields count="8">
    <cacheField name="[Range].[Month].[Month]" caption="Month" numFmtId="0" hierarchy="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Visitors]" caption="Sum of Visitors" numFmtId="0" hierarchy="16" level="32767"/>
    <cacheField name="[Measures].[Sum of Signups]" caption="Sum of Signups" numFmtId="0" hierarchy="17" level="32767"/>
    <cacheField name="[Measures].[Sum of Restaurant Views]" caption="Sum of Restaurant Views" numFmtId="0" hierarchy="18" level="32767"/>
    <cacheField name="[Measures].[Sum of Add to Cart]" caption="Sum of Add to Cart" numFmtId="0" hierarchy="19" level="32767"/>
    <cacheField name="[Measures].[Sum of Checkout]" caption="Sum of Checkout" numFmtId="0" hierarchy="20" level="32767"/>
    <cacheField name="[Measures].[Sum of Orders]" caption="Sum of Orders" numFmtId="0" hierarchy="21" level="32767"/>
    <cacheField name="[Measures].[Sum of Revenue]" caption="Sum of Revenue" numFmtId="0" hierarchy="22" level="32767"/>
  </cacheFields>
  <cacheHierarchies count="23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Device]" caption="Device" attribute="1" defaultMemberUniqueName="[Range].[Device].[All]" allUniqueName="[Range].[Device].[All]" dimensionUniqueName="[Range]" displayFolder="" count="0" memberValueDatatype="130" unbalanced="0"/>
    <cacheHierarchy uniqueName="[Range].[User Type]" caption="User Type" attribute="1" defaultMemberUniqueName="[Range].[User Type].[All]" allUniqueName="[Range].[User Typ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Visitors]" caption="Visitors" attribute="1" defaultMemberUniqueName="[Range].[Visitors].[All]" allUniqueName="[Range].[Visitors].[All]" dimensionUniqueName="[Range]" displayFolder="" count="0" memberValueDatatype="20" unbalanced="0"/>
    <cacheHierarchy uniqueName="[Range].[Signups]" caption="Signups" attribute="1" defaultMemberUniqueName="[Range].[Signups].[All]" allUniqueName="[Range].[Signups].[All]" dimensionUniqueName="[Range]" displayFolder="" count="0" memberValueDatatype="20" unbalanced="0"/>
    <cacheHierarchy uniqueName="[Range].[Restaurant Views]" caption="Restaurant Views" attribute="1" defaultMemberUniqueName="[Range].[Restaurant Views].[All]" allUniqueName="[Range].[Restaurant Views].[All]" dimensionUniqueName="[Range]" displayFolder="" count="0" memberValueDatatype="20" unbalanced="0"/>
    <cacheHierarchy uniqueName="[Range].[Add to Cart]" caption="Add to Cart" attribute="1" defaultMemberUniqueName="[Range].[Add to Cart].[All]" allUniqueName="[Range].[Add to Cart].[All]" dimensionUniqueName="[Range]" displayFolder="" count="0" memberValueDatatype="20" unbalanced="0"/>
    <cacheHierarchy uniqueName="[Range].[Checkout]" caption="Checkout" attribute="1" defaultMemberUniqueName="[Range].[Checkout].[All]" allUniqueName="[Range].[Checkout].[All]" dimensionUniqueName="[Range]" displayFolder="" count="0" memberValueDatatype="20" unbalanced="0"/>
    <cacheHierarchy uniqueName="[Range].[Orders]" caption="Orders" attribute="1" defaultMemberUniqueName="[Range].[Orders].[All]" allUniqueName="[Range].[Orders].[All]" dimensionUniqueName="[Range]" displayFolder="" count="0" memberValueDatatype="20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Visitors]" caption="Sum of Visitor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ignups]" caption="Sum of Signup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estaurant Views]" caption="Sum of Restaurant View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dd to Cart]" caption="Sum of Add to Cart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Checkout]" caption="Sum of Checkout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s]" caption="Sum of Orders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enue]" caption="Sum of Revenue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2AE32-C071-413D-A9C8-05F593C12CA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6" firstHeaderRow="0" firstDataRow="1" firstDataCol="1"/>
  <pivotFields count="8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Visitors" fld="1" baseField="0" baseItem="0"/>
    <dataField name="Sum of Signups" fld="2" baseField="0" baseItem="0"/>
    <dataField name="Sum of Restaurant Views" fld="3" baseField="0" baseItem="0"/>
    <dataField name="Sum of Add to Cart" fld="4" baseField="0" baseItem="0"/>
    <dataField name="Sum of Checkout" fld="5" baseField="0" baseItem="0"/>
    <dataField name="Sum of Orders" fld="6" baseField="0" baseItem="0"/>
    <dataField name="Sum of Revenue" fld="7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Data!$A$1:$N$14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14" sqref="A14"/>
    </sheetView>
  </sheetViews>
  <sheetFormatPr defaultRowHeight="14.4"/>
  <cols>
    <col min="1" max="1" width="61.44140625" bestFit="1" customWidth="1"/>
    <col min="2" max="2" width="81.109375" bestFit="1" customWidth="1"/>
  </cols>
  <sheetData>
    <row r="1" spans="1:2" ht="28.8">
      <c r="A1" s="1" t="s">
        <v>0</v>
      </c>
    </row>
    <row r="3" spans="1:2">
      <c r="A3" s="6" t="s">
        <v>1</v>
      </c>
      <c r="B3" s="6" t="s">
        <v>2</v>
      </c>
    </row>
    <row r="4" spans="1:2">
      <c r="A4" s="6"/>
      <c r="B4" s="6"/>
    </row>
    <row r="5" spans="1:2">
      <c r="A5" s="6" t="s">
        <v>3</v>
      </c>
      <c r="B5" s="6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5"/>
  <sheetViews>
    <sheetView workbookViewId="0">
      <selection activeCell="F19" sqref="F19"/>
    </sheetView>
  </sheetViews>
  <sheetFormatPr defaultRowHeight="14.4"/>
  <cols>
    <col min="6" max="6" width="9.33203125" bestFit="1" customWidth="1"/>
  </cols>
  <sheetData>
    <row r="1" spans="1:17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</row>
    <row r="2" spans="1:17">
      <c r="A2">
        <v>1001</v>
      </c>
      <c r="B2" s="3">
        <v>45661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50000</v>
      </c>
      <c r="I2">
        <v>24000</v>
      </c>
      <c r="J2">
        <v>19680</v>
      </c>
      <c r="K2">
        <v>12201</v>
      </c>
      <c r="L2">
        <v>9028</v>
      </c>
      <c r="M2">
        <v>7764</v>
      </c>
      <c r="N2">
        <v>3447216</v>
      </c>
      <c r="O2">
        <v>4.2</v>
      </c>
      <c r="P2">
        <v>18</v>
      </c>
      <c r="Q2" t="s">
        <v>27</v>
      </c>
    </row>
    <row r="3" spans="1:17">
      <c r="A3">
        <v>1002</v>
      </c>
      <c r="B3" s="3">
        <v>45659</v>
      </c>
      <c r="C3" t="s">
        <v>22</v>
      </c>
      <c r="D3" t="s">
        <v>28</v>
      </c>
      <c r="E3" t="s">
        <v>24</v>
      </c>
      <c r="F3" t="s">
        <v>29</v>
      </c>
      <c r="G3" t="s">
        <v>30</v>
      </c>
      <c r="H3">
        <v>50000</v>
      </c>
      <c r="I3">
        <v>24000</v>
      </c>
      <c r="J3">
        <v>19680</v>
      </c>
      <c r="K3">
        <v>12201</v>
      </c>
      <c r="L3">
        <v>9028</v>
      </c>
      <c r="M3">
        <v>7764</v>
      </c>
      <c r="N3">
        <v>3447216</v>
      </c>
      <c r="O3">
        <v>4.5999999999999996</v>
      </c>
      <c r="P3">
        <v>24</v>
      </c>
      <c r="Q3" t="s">
        <v>27</v>
      </c>
    </row>
    <row r="4" spans="1:17">
      <c r="A4">
        <v>1003</v>
      </c>
      <c r="B4" s="3">
        <v>45666</v>
      </c>
      <c r="C4" t="s">
        <v>22</v>
      </c>
      <c r="D4" t="s">
        <v>31</v>
      </c>
      <c r="E4" t="s">
        <v>32</v>
      </c>
      <c r="F4" t="s">
        <v>25</v>
      </c>
      <c r="G4" t="s">
        <v>30</v>
      </c>
      <c r="H4">
        <v>50000</v>
      </c>
      <c r="I4">
        <v>24000</v>
      </c>
      <c r="J4">
        <v>19680</v>
      </c>
      <c r="K4">
        <v>12201</v>
      </c>
      <c r="L4">
        <v>9028</v>
      </c>
      <c r="M4">
        <v>7764</v>
      </c>
      <c r="N4">
        <v>3447216</v>
      </c>
      <c r="O4">
        <v>5</v>
      </c>
      <c r="P4">
        <v>19</v>
      </c>
      <c r="Q4" t="s">
        <v>33</v>
      </c>
    </row>
    <row r="5" spans="1:17">
      <c r="A5">
        <v>1004</v>
      </c>
      <c r="B5" s="3">
        <v>45683</v>
      </c>
      <c r="C5" t="s">
        <v>22</v>
      </c>
      <c r="D5" t="s">
        <v>34</v>
      </c>
      <c r="E5" t="s">
        <v>32</v>
      </c>
      <c r="F5" t="s">
        <v>29</v>
      </c>
      <c r="G5" t="s">
        <v>26</v>
      </c>
      <c r="H5">
        <v>50000</v>
      </c>
      <c r="I5">
        <v>24000</v>
      </c>
      <c r="J5">
        <v>19680</v>
      </c>
      <c r="K5">
        <v>12201</v>
      </c>
      <c r="L5">
        <v>9028</v>
      </c>
      <c r="M5">
        <v>7764</v>
      </c>
      <c r="N5">
        <v>3447216</v>
      </c>
      <c r="O5">
        <v>4.7</v>
      </c>
      <c r="P5">
        <v>21</v>
      </c>
      <c r="Q5" t="s">
        <v>33</v>
      </c>
    </row>
    <row r="6" spans="1:17">
      <c r="A6">
        <v>1005</v>
      </c>
      <c r="B6" s="3">
        <v>45676</v>
      </c>
      <c r="C6" t="s">
        <v>22</v>
      </c>
      <c r="D6" t="s">
        <v>28</v>
      </c>
      <c r="E6" t="s">
        <v>32</v>
      </c>
      <c r="F6" t="s">
        <v>25</v>
      </c>
      <c r="G6" t="s">
        <v>35</v>
      </c>
      <c r="H6">
        <v>50000</v>
      </c>
      <c r="I6">
        <v>24000</v>
      </c>
      <c r="J6">
        <v>19680</v>
      </c>
      <c r="K6">
        <v>12201</v>
      </c>
      <c r="L6">
        <v>9028</v>
      </c>
      <c r="M6">
        <v>7764</v>
      </c>
      <c r="N6">
        <v>3447216</v>
      </c>
      <c r="O6">
        <v>4.9000000000000004</v>
      </c>
      <c r="P6">
        <v>43</v>
      </c>
      <c r="Q6" t="s">
        <v>33</v>
      </c>
    </row>
    <row r="7" spans="1:17">
      <c r="A7">
        <v>1006</v>
      </c>
      <c r="B7" s="3">
        <v>45664</v>
      </c>
      <c r="C7" t="s">
        <v>22</v>
      </c>
      <c r="D7" t="s">
        <v>28</v>
      </c>
      <c r="E7" t="s">
        <v>32</v>
      </c>
      <c r="F7" t="s">
        <v>29</v>
      </c>
      <c r="G7" t="s">
        <v>36</v>
      </c>
      <c r="H7">
        <v>50000</v>
      </c>
      <c r="I7">
        <v>24000</v>
      </c>
      <c r="J7">
        <v>19680</v>
      </c>
      <c r="K7">
        <v>12201</v>
      </c>
      <c r="L7">
        <v>9028</v>
      </c>
      <c r="M7">
        <v>7764</v>
      </c>
      <c r="N7">
        <v>3447216</v>
      </c>
      <c r="O7">
        <v>3.8</v>
      </c>
      <c r="P7">
        <v>32</v>
      </c>
      <c r="Q7" t="s">
        <v>27</v>
      </c>
    </row>
    <row r="8" spans="1:17">
      <c r="A8">
        <v>1007</v>
      </c>
      <c r="B8" s="3">
        <v>45672</v>
      </c>
      <c r="C8" t="s">
        <v>22</v>
      </c>
      <c r="D8" t="s">
        <v>31</v>
      </c>
      <c r="E8" t="s">
        <v>37</v>
      </c>
      <c r="F8" t="s">
        <v>25</v>
      </c>
      <c r="G8" t="s">
        <v>35</v>
      </c>
      <c r="H8">
        <v>50000</v>
      </c>
      <c r="I8">
        <v>24000</v>
      </c>
      <c r="J8">
        <v>19680</v>
      </c>
      <c r="K8">
        <v>12201</v>
      </c>
      <c r="L8">
        <v>9028</v>
      </c>
      <c r="M8">
        <v>7764</v>
      </c>
      <c r="N8">
        <v>3447216</v>
      </c>
      <c r="O8">
        <v>4</v>
      </c>
      <c r="P8">
        <v>49</v>
      </c>
      <c r="Q8" t="s">
        <v>33</v>
      </c>
    </row>
    <row r="9" spans="1:17">
      <c r="A9">
        <v>1008</v>
      </c>
      <c r="B9" s="3">
        <v>45684</v>
      </c>
      <c r="C9" t="s">
        <v>22</v>
      </c>
      <c r="D9" t="s">
        <v>34</v>
      </c>
      <c r="E9" t="s">
        <v>37</v>
      </c>
      <c r="F9" t="s">
        <v>29</v>
      </c>
      <c r="G9" t="s">
        <v>35</v>
      </c>
      <c r="H9">
        <v>50000</v>
      </c>
      <c r="I9">
        <v>24000</v>
      </c>
      <c r="J9">
        <v>19680</v>
      </c>
      <c r="K9">
        <v>12201</v>
      </c>
      <c r="L9">
        <v>9028</v>
      </c>
      <c r="M9">
        <v>7764</v>
      </c>
      <c r="N9">
        <v>3447216</v>
      </c>
      <c r="O9">
        <v>4.0999999999999996</v>
      </c>
      <c r="P9">
        <v>47</v>
      </c>
      <c r="Q9" t="s">
        <v>27</v>
      </c>
    </row>
    <row r="10" spans="1:17">
      <c r="A10">
        <v>1009</v>
      </c>
      <c r="B10" s="3">
        <v>45670</v>
      </c>
      <c r="C10" t="s">
        <v>22</v>
      </c>
      <c r="D10" t="s">
        <v>23</v>
      </c>
      <c r="E10" t="s">
        <v>37</v>
      </c>
      <c r="F10" t="s">
        <v>29</v>
      </c>
      <c r="G10" t="s">
        <v>36</v>
      </c>
      <c r="H10">
        <v>50000</v>
      </c>
      <c r="I10">
        <v>24000</v>
      </c>
      <c r="J10">
        <v>19680</v>
      </c>
      <c r="K10">
        <v>12201</v>
      </c>
      <c r="L10">
        <v>9028</v>
      </c>
      <c r="M10">
        <v>7764</v>
      </c>
      <c r="N10">
        <v>3447216</v>
      </c>
      <c r="O10">
        <v>4.7</v>
      </c>
      <c r="P10">
        <v>46</v>
      </c>
      <c r="Q10" t="s">
        <v>27</v>
      </c>
    </row>
    <row r="11" spans="1:17">
      <c r="A11">
        <v>1010</v>
      </c>
      <c r="B11" s="3">
        <v>45678</v>
      </c>
      <c r="C11" t="s">
        <v>22</v>
      </c>
      <c r="D11" t="s">
        <v>23</v>
      </c>
      <c r="E11" t="s">
        <v>37</v>
      </c>
      <c r="F11" t="s">
        <v>25</v>
      </c>
      <c r="G11" t="s">
        <v>36</v>
      </c>
      <c r="H11">
        <v>50000</v>
      </c>
      <c r="I11">
        <v>24000</v>
      </c>
      <c r="J11">
        <v>19680</v>
      </c>
      <c r="K11">
        <v>12201</v>
      </c>
      <c r="L11">
        <v>9028</v>
      </c>
      <c r="M11">
        <v>7764</v>
      </c>
      <c r="N11">
        <v>3447216</v>
      </c>
      <c r="O11">
        <v>4.5</v>
      </c>
      <c r="P11">
        <v>24</v>
      </c>
      <c r="Q11" t="s">
        <v>33</v>
      </c>
    </row>
    <row r="12" spans="1:17">
      <c r="A12">
        <v>1011</v>
      </c>
      <c r="B12" s="3">
        <v>45676</v>
      </c>
      <c r="C12" t="s">
        <v>22</v>
      </c>
      <c r="D12" t="s">
        <v>28</v>
      </c>
      <c r="E12" t="s">
        <v>24</v>
      </c>
      <c r="F12" t="s">
        <v>25</v>
      </c>
      <c r="G12" t="s">
        <v>36</v>
      </c>
      <c r="H12">
        <v>50000</v>
      </c>
      <c r="I12">
        <v>24000</v>
      </c>
      <c r="J12">
        <v>19680</v>
      </c>
      <c r="K12">
        <v>12201</v>
      </c>
      <c r="L12">
        <v>9028</v>
      </c>
      <c r="M12">
        <v>7764</v>
      </c>
      <c r="N12">
        <v>3447216</v>
      </c>
      <c r="O12">
        <v>4.2</v>
      </c>
      <c r="P12">
        <v>39</v>
      </c>
      <c r="Q12" t="s">
        <v>33</v>
      </c>
    </row>
    <row r="13" spans="1:17">
      <c r="A13">
        <v>1012</v>
      </c>
      <c r="B13" s="3">
        <v>45661</v>
      </c>
      <c r="C13" t="s">
        <v>22</v>
      </c>
      <c r="D13" t="s">
        <v>23</v>
      </c>
      <c r="E13" t="s">
        <v>37</v>
      </c>
      <c r="F13" t="s">
        <v>29</v>
      </c>
      <c r="G13" t="s">
        <v>35</v>
      </c>
      <c r="H13">
        <v>50000</v>
      </c>
      <c r="I13">
        <v>24000</v>
      </c>
      <c r="J13">
        <v>19680</v>
      </c>
      <c r="K13">
        <v>12201</v>
      </c>
      <c r="L13">
        <v>9028</v>
      </c>
      <c r="M13">
        <v>7764</v>
      </c>
      <c r="N13">
        <v>3447216</v>
      </c>
      <c r="O13">
        <v>4.4000000000000004</v>
      </c>
      <c r="P13">
        <v>40</v>
      </c>
      <c r="Q13" t="s">
        <v>33</v>
      </c>
    </row>
    <row r="14" spans="1:17">
      <c r="A14">
        <v>1013</v>
      </c>
      <c r="B14" s="3">
        <v>45702</v>
      </c>
      <c r="C14" t="s">
        <v>38</v>
      </c>
      <c r="D14" t="s">
        <v>34</v>
      </c>
      <c r="E14" t="s">
        <v>37</v>
      </c>
      <c r="F14" t="s">
        <v>25</v>
      </c>
      <c r="G14" t="s">
        <v>30</v>
      </c>
      <c r="H14">
        <v>52500</v>
      </c>
      <c r="I14">
        <v>25200</v>
      </c>
      <c r="J14">
        <v>20664</v>
      </c>
      <c r="K14">
        <v>12811</v>
      </c>
      <c r="L14">
        <v>9480</v>
      </c>
      <c r="M14">
        <v>8152</v>
      </c>
      <c r="N14">
        <v>3709160</v>
      </c>
      <c r="O14">
        <v>3.9</v>
      </c>
      <c r="P14">
        <v>42</v>
      </c>
      <c r="Q14" t="s">
        <v>33</v>
      </c>
    </row>
    <row r="15" spans="1:17">
      <c r="A15">
        <v>1014</v>
      </c>
      <c r="B15" s="3">
        <v>45711</v>
      </c>
      <c r="C15" t="s">
        <v>38</v>
      </c>
      <c r="D15" t="s">
        <v>28</v>
      </c>
      <c r="E15" t="s">
        <v>32</v>
      </c>
      <c r="F15" t="s">
        <v>25</v>
      </c>
      <c r="G15" t="s">
        <v>39</v>
      </c>
      <c r="H15">
        <v>52500</v>
      </c>
      <c r="I15">
        <v>25200</v>
      </c>
      <c r="J15">
        <v>20664</v>
      </c>
      <c r="K15">
        <v>12811</v>
      </c>
      <c r="L15">
        <v>9480</v>
      </c>
      <c r="M15">
        <v>8152</v>
      </c>
      <c r="N15">
        <v>3709160</v>
      </c>
      <c r="O15">
        <v>4</v>
      </c>
      <c r="P15">
        <v>38</v>
      </c>
      <c r="Q15" t="s">
        <v>27</v>
      </c>
    </row>
    <row r="16" spans="1:17">
      <c r="A16">
        <v>1015</v>
      </c>
      <c r="B16" s="3">
        <v>45689</v>
      </c>
      <c r="C16" t="s">
        <v>38</v>
      </c>
      <c r="D16" t="s">
        <v>34</v>
      </c>
      <c r="E16" t="s">
        <v>37</v>
      </c>
      <c r="F16" t="s">
        <v>25</v>
      </c>
      <c r="G16" t="s">
        <v>35</v>
      </c>
      <c r="H16">
        <v>52500</v>
      </c>
      <c r="I16">
        <v>25200</v>
      </c>
      <c r="J16">
        <v>20664</v>
      </c>
      <c r="K16">
        <v>12811</v>
      </c>
      <c r="L16">
        <v>9480</v>
      </c>
      <c r="M16">
        <v>8152</v>
      </c>
      <c r="N16">
        <v>3709160</v>
      </c>
      <c r="O16">
        <v>4</v>
      </c>
      <c r="P16">
        <v>43</v>
      </c>
      <c r="Q16" t="s">
        <v>33</v>
      </c>
    </row>
    <row r="17" spans="1:17">
      <c r="A17">
        <v>1016</v>
      </c>
      <c r="B17" s="3">
        <v>45697</v>
      </c>
      <c r="C17" t="s">
        <v>38</v>
      </c>
      <c r="D17" t="s">
        <v>31</v>
      </c>
      <c r="E17" t="s">
        <v>24</v>
      </c>
      <c r="F17" t="s">
        <v>25</v>
      </c>
      <c r="G17" t="s">
        <v>36</v>
      </c>
      <c r="H17">
        <v>52500</v>
      </c>
      <c r="I17">
        <v>25200</v>
      </c>
      <c r="J17">
        <v>20664</v>
      </c>
      <c r="K17">
        <v>12811</v>
      </c>
      <c r="L17">
        <v>9480</v>
      </c>
      <c r="M17">
        <v>8152</v>
      </c>
      <c r="N17">
        <v>3709160</v>
      </c>
      <c r="O17">
        <v>4</v>
      </c>
      <c r="P17">
        <v>48</v>
      </c>
      <c r="Q17" t="s">
        <v>33</v>
      </c>
    </row>
    <row r="18" spans="1:17">
      <c r="A18">
        <v>1017</v>
      </c>
      <c r="B18" s="3">
        <v>45699</v>
      </c>
      <c r="C18" t="s">
        <v>38</v>
      </c>
      <c r="D18" t="s">
        <v>28</v>
      </c>
      <c r="E18" t="s">
        <v>37</v>
      </c>
      <c r="F18" t="s">
        <v>29</v>
      </c>
      <c r="G18" t="s">
        <v>36</v>
      </c>
      <c r="H18">
        <v>52500</v>
      </c>
      <c r="I18">
        <v>25200</v>
      </c>
      <c r="J18">
        <v>20664</v>
      </c>
      <c r="K18">
        <v>12811</v>
      </c>
      <c r="L18">
        <v>9480</v>
      </c>
      <c r="M18">
        <v>8152</v>
      </c>
      <c r="N18">
        <v>3709160</v>
      </c>
      <c r="O18">
        <v>4.4000000000000004</v>
      </c>
      <c r="P18">
        <v>27</v>
      </c>
      <c r="Q18" t="s">
        <v>33</v>
      </c>
    </row>
    <row r="19" spans="1:17">
      <c r="A19">
        <v>1018</v>
      </c>
      <c r="B19" s="3">
        <v>45689</v>
      </c>
      <c r="C19" t="s">
        <v>38</v>
      </c>
      <c r="D19" t="s">
        <v>31</v>
      </c>
      <c r="E19" t="s">
        <v>37</v>
      </c>
      <c r="F19" t="s">
        <v>25</v>
      </c>
      <c r="G19" t="s">
        <v>39</v>
      </c>
      <c r="H19">
        <v>52500</v>
      </c>
      <c r="I19">
        <v>25200</v>
      </c>
      <c r="J19">
        <v>20664</v>
      </c>
      <c r="K19">
        <v>12811</v>
      </c>
      <c r="L19">
        <v>9480</v>
      </c>
      <c r="M19">
        <v>8152</v>
      </c>
      <c r="N19">
        <v>3709160</v>
      </c>
      <c r="O19">
        <v>4.9000000000000004</v>
      </c>
      <c r="P19">
        <v>41</v>
      </c>
      <c r="Q19" t="s">
        <v>33</v>
      </c>
    </row>
    <row r="20" spans="1:17">
      <c r="A20">
        <v>1019</v>
      </c>
      <c r="B20" s="3">
        <v>45691</v>
      </c>
      <c r="C20" t="s">
        <v>38</v>
      </c>
      <c r="D20" t="s">
        <v>34</v>
      </c>
      <c r="E20" t="s">
        <v>32</v>
      </c>
      <c r="F20" t="s">
        <v>25</v>
      </c>
      <c r="G20" t="s">
        <v>35</v>
      </c>
      <c r="H20">
        <v>52500</v>
      </c>
      <c r="I20">
        <v>25200</v>
      </c>
      <c r="J20">
        <v>20664</v>
      </c>
      <c r="K20">
        <v>12811</v>
      </c>
      <c r="L20">
        <v>9480</v>
      </c>
      <c r="M20">
        <v>8152</v>
      </c>
      <c r="N20">
        <v>3709160</v>
      </c>
      <c r="O20">
        <v>4.5999999999999996</v>
      </c>
      <c r="P20">
        <v>55</v>
      </c>
      <c r="Q20" t="s">
        <v>27</v>
      </c>
    </row>
    <row r="21" spans="1:17">
      <c r="A21">
        <v>1020</v>
      </c>
      <c r="B21" s="3">
        <v>45710</v>
      </c>
      <c r="C21" t="s">
        <v>38</v>
      </c>
      <c r="D21" t="s">
        <v>28</v>
      </c>
      <c r="E21" t="s">
        <v>37</v>
      </c>
      <c r="F21" t="s">
        <v>25</v>
      </c>
      <c r="G21" t="s">
        <v>30</v>
      </c>
      <c r="H21">
        <v>52500</v>
      </c>
      <c r="I21">
        <v>25200</v>
      </c>
      <c r="J21">
        <v>20664</v>
      </c>
      <c r="K21">
        <v>12811</v>
      </c>
      <c r="L21">
        <v>9480</v>
      </c>
      <c r="M21">
        <v>8152</v>
      </c>
      <c r="N21">
        <v>3709160</v>
      </c>
      <c r="O21">
        <v>5</v>
      </c>
      <c r="P21">
        <v>42</v>
      </c>
      <c r="Q21" t="s">
        <v>33</v>
      </c>
    </row>
    <row r="22" spans="1:17">
      <c r="A22">
        <v>1021</v>
      </c>
      <c r="B22" s="3">
        <v>45696</v>
      </c>
      <c r="C22" t="s">
        <v>38</v>
      </c>
      <c r="D22" t="s">
        <v>31</v>
      </c>
      <c r="E22" t="s">
        <v>37</v>
      </c>
      <c r="F22" t="s">
        <v>29</v>
      </c>
      <c r="G22" t="s">
        <v>26</v>
      </c>
      <c r="H22">
        <v>52500</v>
      </c>
      <c r="I22">
        <v>25200</v>
      </c>
      <c r="J22">
        <v>20664</v>
      </c>
      <c r="K22">
        <v>12811</v>
      </c>
      <c r="L22">
        <v>9480</v>
      </c>
      <c r="M22">
        <v>8152</v>
      </c>
      <c r="N22">
        <v>3709160</v>
      </c>
      <c r="O22">
        <v>4.2</v>
      </c>
      <c r="P22">
        <v>25</v>
      </c>
      <c r="Q22" t="s">
        <v>27</v>
      </c>
    </row>
    <row r="23" spans="1:17">
      <c r="A23">
        <v>1022</v>
      </c>
      <c r="B23" s="3">
        <v>45704</v>
      </c>
      <c r="C23" t="s">
        <v>38</v>
      </c>
      <c r="D23" t="s">
        <v>28</v>
      </c>
      <c r="E23" t="s">
        <v>24</v>
      </c>
      <c r="F23" t="s">
        <v>29</v>
      </c>
      <c r="G23" t="s">
        <v>35</v>
      </c>
      <c r="H23">
        <v>52500</v>
      </c>
      <c r="I23">
        <v>25200</v>
      </c>
      <c r="J23">
        <v>20664</v>
      </c>
      <c r="K23">
        <v>12811</v>
      </c>
      <c r="L23">
        <v>9480</v>
      </c>
      <c r="M23">
        <v>8152</v>
      </c>
      <c r="N23">
        <v>3709160</v>
      </c>
      <c r="O23">
        <v>5</v>
      </c>
      <c r="P23">
        <v>52</v>
      </c>
      <c r="Q23" t="s">
        <v>33</v>
      </c>
    </row>
    <row r="24" spans="1:17">
      <c r="A24">
        <v>1023</v>
      </c>
      <c r="B24" s="3">
        <v>45703</v>
      </c>
      <c r="C24" t="s">
        <v>38</v>
      </c>
      <c r="D24" t="s">
        <v>28</v>
      </c>
      <c r="E24" t="s">
        <v>24</v>
      </c>
      <c r="F24" t="s">
        <v>29</v>
      </c>
      <c r="G24" t="s">
        <v>30</v>
      </c>
      <c r="H24">
        <v>52500</v>
      </c>
      <c r="I24">
        <v>25200</v>
      </c>
      <c r="J24">
        <v>20664</v>
      </c>
      <c r="K24">
        <v>12811</v>
      </c>
      <c r="L24">
        <v>9480</v>
      </c>
      <c r="M24">
        <v>8152</v>
      </c>
      <c r="N24">
        <v>3709160</v>
      </c>
      <c r="O24">
        <v>4.3</v>
      </c>
      <c r="P24">
        <v>28</v>
      </c>
      <c r="Q24" t="s">
        <v>33</v>
      </c>
    </row>
    <row r="25" spans="1:17">
      <c r="A25">
        <v>1024</v>
      </c>
      <c r="B25" s="3">
        <v>45713</v>
      </c>
      <c r="C25" t="s">
        <v>38</v>
      </c>
      <c r="D25" t="s">
        <v>34</v>
      </c>
      <c r="E25" t="s">
        <v>32</v>
      </c>
      <c r="F25" t="s">
        <v>29</v>
      </c>
      <c r="G25" t="s">
        <v>36</v>
      </c>
      <c r="H25">
        <v>52500</v>
      </c>
      <c r="I25">
        <v>25200</v>
      </c>
      <c r="J25">
        <v>20664</v>
      </c>
      <c r="K25">
        <v>12811</v>
      </c>
      <c r="L25">
        <v>9480</v>
      </c>
      <c r="M25">
        <v>8152</v>
      </c>
      <c r="N25">
        <v>3709160</v>
      </c>
      <c r="O25">
        <v>4.2</v>
      </c>
      <c r="P25">
        <v>18</v>
      </c>
      <c r="Q25" t="s">
        <v>27</v>
      </c>
    </row>
    <row r="26" spans="1:17">
      <c r="A26">
        <v>1025</v>
      </c>
      <c r="B26" s="3">
        <v>45734</v>
      </c>
      <c r="C26" t="s">
        <v>40</v>
      </c>
      <c r="D26" t="s">
        <v>28</v>
      </c>
      <c r="E26" t="s">
        <v>32</v>
      </c>
      <c r="F26" t="s">
        <v>29</v>
      </c>
      <c r="G26" t="s">
        <v>39</v>
      </c>
      <c r="H26">
        <v>55000</v>
      </c>
      <c r="I26">
        <v>26400</v>
      </c>
      <c r="J26">
        <v>21648</v>
      </c>
      <c r="K26">
        <v>13421</v>
      </c>
      <c r="L26">
        <v>9931</v>
      </c>
      <c r="M26">
        <v>8540</v>
      </c>
      <c r="N26">
        <v>3860080</v>
      </c>
      <c r="O26">
        <v>4.8</v>
      </c>
      <c r="P26">
        <v>40</v>
      </c>
      <c r="Q26" t="s">
        <v>27</v>
      </c>
    </row>
    <row r="27" spans="1:17">
      <c r="A27">
        <v>1026</v>
      </c>
      <c r="B27" s="3">
        <v>45743</v>
      </c>
      <c r="C27" t="s">
        <v>40</v>
      </c>
      <c r="D27" t="s">
        <v>34</v>
      </c>
      <c r="E27" t="s">
        <v>37</v>
      </c>
      <c r="F27" t="s">
        <v>25</v>
      </c>
      <c r="G27" t="s">
        <v>30</v>
      </c>
      <c r="H27">
        <v>55000</v>
      </c>
      <c r="I27">
        <v>26400</v>
      </c>
      <c r="J27">
        <v>21648</v>
      </c>
      <c r="K27">
        <v>13421</v>
      </c>
      <c r="L27">
        <v>9931</v>
      </c>
      <c r="M27">
        <v>8540</v>
      </c>
      <c r="N27">
        <v>3860080</v>
      </c>
      <c r="O27">
        <v>3.9</v>
      </c>
      <c r="P27">
        <v>32</v>
      </c>
      <c r="Q27" t="s">
        <v>27</v>
      </c>
    </row>
    <row r="28" spans="1:17">
      <c r="A28">
        <v>1027</v>
      </c>
      <c r="B28" s="3">
        <v>45723</v>
      </c>
      <c r="C28" t="s">
        <v>40</v>
      </c>
      <c r="D28" t="s">
        <v>34</v>
      </c>
      <c r="E28" t="s">
        <v>37</v>
      </c>
      <c r="F28" t="s">
        <v>25</v>
      </c>
      <c r="G28" t="s">
        <v>39</v>
      </c>
      <c r="H28">
        <v>55000</v>
      </c>
      <c r="I28">
        <v>26400</v>
      </c>
      <c r="J28">
        <v>21648</v>
      </c>
      <c r="K28">
        <v>13421</v>
      </c>
      <c r="L28">
        <v>9931</v>
      </c>
      <c r="M28">
        <v>8540</v>
      </c>
      <c r="N28">
        <v>3860080</v>
      </c>
      <c r="O28">
        <v>4.7</v>
      </c>
      <c r="P28">
        <v>33</v>
      </c>
      <c r="Q28" t="s">
        <v>27</v>
      </c>
    </row>
    <row r="29" spans="1:17">
      <c r="A29">
        <v>1028</v>
      </c>
      <c r="B29" s="3">
        <v>45738</v>
      </c>
      <c r="C29" t="s">
        <v>40</v>
      </c>
      <c r="D29" t="s">
        <v>28</v>
      </c>
      <c r="E29" t="s">
        <v>37</v>
      </c>
      <c r="F29" t="s">
        <v>29</v>
      </c>
      <c r="G29" t="s">
        <v>39</v>
      </c>
      <c r="H29">
        <v>55000</v>
      </c>
      <c r="I29">
        <v>26400</v>
      </c>
      <c r="J29">
        <v>21648</v>
      </c>
      <c r="K29">
        <v>13421</v>
      </c>
      <c r="L29">
        <v>9931</v>
      </c>
      <c r="M29">
        <v>8540</v>
      </c>
      <c r="N29">
        <v>3860080</v>
      </c>
      <c r="O29">
        <v>5</v>
      </c>
      <c r="P29">
        <v>30</v>
      </c>
      <c r="Q29" t="s">
        <v>27</v>
      </c>
    </row>
    <row r="30" spans="1:17">
      <c r="A30">
        <v>1029</v>
      </c>
      <c r="B30" s="3">
        <v>45734</v>
      </c>
      <c r="C30" t="s">
        <v>40</v>
      </c>
      <c r="D30" t="s">
        <v>23</v>
      </c>
      <c r="E30" t="s">
        <v>32</v>
      </c>
      <c r="F30" t="s">
        <v>25</v>
      </c>
      <c r="G30" t="s">
        <v>30</v>
      </c>
      <c r="H30">
        <v>55000</v>
      </c>
      <c r="I30">
        <v>26400</v>
      </c>
      <c r="J30">
        <v>21648</v>
      </c>
      <c r="K30">
        <v>13421</v>
      </c>
      <c r="L30">
        <v>9931</v>
      </c>
      <c r="M30">
        <v>8540</v>
      </c>
      <c r="N30">
        <v>3860080</v>
      </c>
      <c r="O30">
        <v>4.0999999999999996</v>
      </c>
      <c r="P30">
        <v>53</v>
      </c>
      <c r="Q30" t="s">
        <v>33</v>
      </c>
    </row>
    <row r="31" spans="1:17">
      <c r="A31">
        <v>1030</v>
      </c>
      <c r="B31" s="3">
        <v>45736</v>
      </c>
      <c r="C31" t="s">
        <v>40</v>
      </c>
      <c r="D31" t="s">
        <v>28</v>
      </c>
      <c r="E31" t="s">
        <v>24</v>
      </c>
      <c r="F31" t="s">
        <v>25</v>
      </c>
      <c r="G31" t="s">
        <v>35</v>
      </c>
      <c r="H31">
        <v>55000</v>
      </c>
      <c r="I31">
        <v>26400</v>
      </c>
      <c r="J31">
        <v>21648</v>
      </c>
      <c r="K31">
        <v>13421</v>
      </c>
      <c r="L31">
        <v>9931</v>
      </c>
      <c r="M31">
        <v>8540</v>
      </c>
      <c r="N31">
        <v>3860080</v>
      </c>
      <c r="O31">
        <v>4.2</v>
      </c>
      <c r="P31">
        <v>37</v>
      </c>
      <c r="Q31" t="s">
        <v>33</v>
      </c>
    </row>
    <row r="32" spans="1:17">
      <c r="A32">
        <v>1031</v>
      </c>
      <c r="B32" s="3">
        <v>45739</v>
      </c>
      <c r="C32" t="s">
        <v>40</v>
      </c>
      <c r="D32" t="s">
        <v>31</v>
      </c>
      <c r="E32" t="s">
        <v>32</v>
      </c>
      <c r="F32" t="s">
        <v>29</v>
      </c>
      <c r="G32" t="s">
        <v>30</v>
      </c>
      <c r="H32">
        <v>55000</v>
      </c>
      <c r="I32">
        <v>26400</v>
      </c>
      <c r="J32">
        <v>21648</v>
      </c>
      <c r="K32">
        <v>13421</v>
      </c>
      <c r="L32">
        <v>9931</v>
      </c>
      <c r="M32">
        <v>8540</v>
      </c>
      <c r="N32">
        <v>3860080</v>
      </c>
      <c r="O32">
        <v>4.0999999999999996</v>
      </c>
      <c r="P32">
        <v>55</v>
      </c>
      <c r="Q32" t="s">
        <v>33</v>
      </c>
    </row>
    <row r="33" spans="1:17">
      <c r="A33">
        <v>1032</v>
      </c>
      <c r="B33" s="3">
        <v>45739</v>
      </c>
      <c r="C33" t="s">
        <v>40</v>
      </c>
      <c r="D33" t="s">
        <v>28</v>
      </c>
      <c r="E33" t="s">
        <v>24</v>
      </c>
      <c r="F33" t="s">
        <v>25</v>
      </c>
      <c r="G33" t="s">
        <v>36</v>
      </c>
      <c r="H33">
        <v>55000</v>
      </c>
      <c r="I33">
        <v>26400</v>
      </c>
      <c r="J33">
        <v>21648</v>
      </c>
      <c r="K33">
        <v>13421</v>
      </c>
      <c r="L33">
        <v>9931</v>
      </c>
      <c r="M33">
        <v>8540</v>
      </c>
      <c r="N33">
        <v>3860080</v>
      </c>
      <c r="O33">
        <v>3.8</v>
      </c>
      <c r="P33">
        <v>38</v>
      </c>
      <c r="Q33" t="s">
        <v>33</v>
      </c>
    </row>
    <row r="34" spans="1:17">
      <c r="A34">
        <v>1033</v>
      </c>
      <c r="B34" s="3">
        <v>45727</v>
      </c>
      <c r="C34" t="s">
        <v>40</v>
      </c>
      <c r="D34" t="s">
        <v>23</v>
      </c>
      <c r="E34" t="s">
        <v>32</v>
      </c>
      <c r="F34" t="s">
        <v>25</v>
      </c>
      <c r="G34" t="s">
        <v>26</v>
      </c>
      <c r="H34">
        <v>55000</v>
      </c>
      <c r="I34">
        <v>26400</v>
      </c>
      <c r="J34">
        <v>21648</v>
      </c>
      <c r="K34">
        <v>13421</v>
      </c>
      <c r="L34">
        <v>9931</v>
      </c>
      <c r="M34">
        <v>8540</v>
      </c>
      <c r="N34">
        <v>3860080</v>
      </c>
      <c r="O34">
        <v>4.8</v>
      </c>
      <c r="P34">
        <v>43</v>
      </c>
      <c r="Q34" t="s">
        <v>33</v>
      </c>
    </row>
    <row r="35" spans="1:17">
      <c r="A35">
        <v>1034</v>
      </c>
      <c r="B35" s="3">
        <v>45733</v>
      </c>
      <c r="C35" t="s">
        <v>40</v>
      </c>
      <c r="D35" t="s">
        <v>23</v>
      </c>
      <c r="E35" t="s">
        <v>24</v>
      </c>
      <c r="F35" t="s">
        <v>25</v>
      </c>
      <c r="G35" t="s">
        <v>26</v>
      </c>
      <c r="H35">
        <v>55000</v>
      </c>
      <c r="I35">
        <v>26400</v>
      </c>
      <c r="J35">
        <v>21648</v>
      </c>
      <c r="K35">
        <v>13421</v>
      </c>
      <c r="L35">
        <v>9931</v>
      </c>
      <c r="M35">
        <v>8540</v>
      </c>
      <c r="N35">
        <v>3860080</v>
      </c>
      <c r="O35">
        <v>3.8</v>
      </c>
      <c r="P35">
        <v>43</v>
      </c>
      <c r="Q35" t="s">
        <v>27</v>
      </c>
    </row>
    <row r="36" spans="1:17">
      <c r="A36">
        <v>1035</v>
      </c>
      <c r="B36" s="3">
        <v>45735</v>
      </c>
      <c r="C36" t="s">
        <v>40</v>
      </c>
      <c r="D36" t="s">
        <v>34</v>
      </c>
      <c r="E36" t="s">
        <v>37</v>
      </c>
      <c r="F36" t="s">
        <v>25</v>
      </c>
      <c r="G36" t="s">
        <v>35</v>
      </c>
      <c r="H36">
        <v>55000</v>
      </c>
      <c r="I36">
        <v>26400</v>
      </c>
      <c r="J36">
        <v>21648</v>
      </c>
      <c r="K36">
        <v>13421</v>
      </c>
      <c r="L36">
        <v>9931</v>
      </c>
      <c r="M36">
        <v>8540</v>
      </c>
      <c r="N36">
        <v>3860080</v>
      </c>
      <c r="O36">
        <v>4.9000000000000004</v>
      </c>
      <c r="P36">
        <v>20</v>
      </c>
      <c r="Q36" t="s">
        <v>33</v>
      </c>
    </row>
    <row r="37" spans="1:17">
      <c r="A37">
        <v>1036</v>
      </c>
      <c r="B37" s="3">
        <v>45726</v>
      </c>
      <c r="C37" t="s">
        <v>40</v>
      </c>
      <c r="D37" t="s">
        <v>28</v>
      </c>
      <c r="E37" t="s">
        <v>37</v>
      </c>
      <c r="F37" t="s">
        <v>29</v>
      </c>
      <c r="G37" t="s">
        <v>35</v>
      </c>
      <c r="H37">
        <v>55000</v>
      </c>
      <c r="I37">
        <v>26400</v>
      </c>
      <c r="J37">
        <v>21648</v>
      </c>
      <c r="K37">
        <v>13421</v>
      </c>
      <c r="L37">
        <v>9931</v>
      </c>
      <c r="M37">
        <v>8540</v>
      </c>
      <c r="N37">
        <v>3860080</v>
      </c>
      <c r="O37">
        <v>3.9</v>
      </c>
      <c r="P37">
        <v>38</v>
      </c>
      <c r="Q37" t="s">
        <v>33</v>
      </c>
    </row>
    <row r="38" spans="1:17">
      <c r="A38">
        <v>1037</v>
      </c>
      <c r="B38" s="3">
        <v>45749</v>
      </c>
      <c r="C38" t="s">
        <v>41</v>
      </c>
      <c r="D38" t="s">
        <v>34</v>
      </c>
      <c r="E38" t="s">
        <v>32</v>
      </c>
      <c r="F38" t="s">
        <v>25</v>
      </c>
      <c r="G38" t="s">
        <v>30</v>
      </c>
      <c r="H38">
        <v>57500</v>
      </c>
      <c r="I38">
        <v>27600</v>
      </c>
      <c r="J38">
        <v>22632</v>
      </c>
      <c r="K38">
        <v>14031</v>
      </c>
      <c r="L38">
        <v>10382</v>
      </c>
      <c r="M38">
        <v>8928</v>
      </c>
      <c r="N38">
        <v>4133664</v>
      </c>
      <c r="O38">
        <v>4.7</v>
      </c>
      <c r="P38">
        <v>34</v>
      </c>
      <c r="Q38" t="s">
        <v>27</v>
      </c>
    </row>
    <row r="39" spans="1:17">
      <c r="A39">
        <v>1038</v>
      </c>
      <c r="B39" s="3">
        <v>45752</v>
      </c>
      <c r="C39" t="s">
        <v>41</v>
      </c>
      <c r="D39" t="s">
        <v>23</v>
      </c>
      <c r="E39" t="s">
        <v>32</v>
      </c>
      <c r="F39" t="s">
        <v>29</v>
      </c>
      <c r="G39" t="s">
        <v>39</v>
      </c>
      <c r="H39">
        <v>57500</v>
      </c>
      <c r="I39">
        <v>27600</v>
      </c>
      <c r="J39">
        <v>22632</v>
      </c>
      <c r="K39">
        <v>14031</v>
      </c>
      <c r="L39">
        <v>10382</v>
      </c>
      <c r="M39">
        <v>8928</v>
      </c>
      <c r="N39">
        <v>4133664</v>
      </c>
      <c r="O39">
        <v>4.2</v>
      </c>
      <c r="P39">
        <v>53</v>
      </c>
      <c r="Q39" t="s">
        <v>33</v>
      </c>
    </row>
    <row r="40" spans="1:17">
      <c r="A40">
        <v>1039</v>
      </c>
      <c r="B40" s="3">
        <v>45751</v>
      </c>
      <c r="C40" t="s">
        <v>41</v>
      </c>
      <c r="D40" t="s">
        <v>28</v>
      </c>
      <c r="E40" t="s">
        <v>37</v>
      </c>
      <c r="F40" t="s">
        <v>25</v>
      </c>
      <c r="G40" t="s">
        <v>30</v>
      </c>
      <c r="H40">
        <v>57500</v>
      </c>
      <c r="I40">
        <v>27600</v>
      </c>
      <c r="J40">
        <v>22632</v>
      </c>
      <c r="K40">
        <v>14031</v>
      </c>
      <c r="L40">
        <v>10382</v>
      </c>
      <c r="M40">
        <v>8928</v>
      </c>
      <c r="N40">
        <v>4133664</v>
      </c>
      <c r="O40">
        <v>4.9000000000000004</v>
      </c>
      <c r="P40">
        <v>37</v>
      </c>
      <c r="Q40" t="s">
        <v>33</v>
      </c>
    </row>
    <row r="41" spans="1:17">
      <c r="A41">
        <v>1040</v>
      </c>
      <c r="B41" s="3">
        <v>45765</v>
      </c>
      <c r="C41" t="s">
        <v>41</v>
      </c>
      <c r="D41" t="s">
        <v>31</v>
      </c>
      <c r="E41" t="s">
        <v>32</v>
      </c>
      <c r="F41" t="s">
        <v>25</v>
      </c>
      <c r="G41" t="s">
        <v>36</v>
      </c>
      <c r="H41">
        <v>57500</v>
      </c>
      <c r="I41">
        <v>27600</v>
      </c>
      <c r="J41">
        <v>22632</v>
      </c>
      <c r="K41">
        <v>14031</v>
      </c>
      <c r="L41">
        <v>10382</v>
      </c>
      <c r="M41">
        <v>8928</v>
      </c>
      <c r="N41">
        <v>4133664</v>
      </c>
      <c r="O41">
        <v>4.3</v>
      </c>
      <c r="P41">
        <v>53</v>
      </c>
      <c r="Q41" t="s">
        <v>33</v>
      </c>
    </row>
    <row r="42" spans="1:17">
      <c r="A42">
        <v>1041</v>
      </c>
      <c r="B42" s="3">
        <v>45767</v>
      </c>
      <c r="C42" t="s">
        <v>41</v>
      </c>
      <c r="D42" t="s">
        <v>34</v>
      </c>
      <c r="E42" t="s">
        <v>24</v>
      </c>
      <c r="F42" t="s">
        <v>29</v>
      </c>
      <c r="G42" t="s">
        <v>36</v>
      </c>
      <c r="H42">
        <v>57500</v>
      </c>
      <c r="I42">
        <v>27600</v>
      </c>
      <c r="J42">
        <v>22632</v>
      </c>
      <c r="K42">
        <v>14031</v>
      </c>
      <c r="L42">
        <v>10382</v>
      </c>
      <c r="M42">
        <v>8928</v>
      </c>
      <c r="N42">
        <v>4133664</v>
      </c>
      <c r="O42">
        <v>3.8</v>
      </c>
      <c r="P42">
        <v>24</v>
      </c>
      <c r="Q42" t="s">
        <v>33</v>
      </c>
    </row>
    <row r="43" spans="1:17">
      <c r="A43">
        <v>1042</v>
      </c>
      <c r="B43" s="3">
        <v>45758</v>
      </c>
      <c r="C43" t="s">
        <v>41</v>
      </c>
      <c r="D43" t="s">
        <v>23</v>
      </c>
      <c r="E43" t="s">
        <v>24</v>
      </c>
      <c r="F43" t="s">
        <v>25</v>
      </c>
      <c r="G43" t="s">
        <v>35</v>
      </c>
      <c r="H43">
        <v>57500</v>
      </c>
      <c r="I43">
        <v>27600</v>
      </c>
      <c r="J43">
        <v>22632</v>
      </c>
      <c r="K43">
        <v>14031</v>
      </c>
      <c r="L43">
        <v>10382</v>
      </c>
      <c r="M43">
        <v>8928</v>
      </c>
      <c r="N43">
        <v>4133664</v>
      </c>
      <c r="O43">
        <v>4.7</v>
      </c>
      <c r="P43">
        <v>43</v>
      </c>
      <c r="Q43" t="s">
        <v>27</v>
      </c>
    </row>
    <row r="44" spans="1:17">
      <c r="A44">
        <v>1043</v>
      </c>
      <c r="B44" s="3">
        <v>45768</v>
      </c>
      <c r="C44" t="s">
        <v>41</v>
      </c>
      <c r="D44" t="s">
        <v>23</v>
      </c>
      <c r="E44" t="s">
        <v>24</v>
      </c>
      <c r="F44" t="s">
        <v>29</v>
      </c>
      <c r="G44" t="s">
        <v>36</v>
      </c>
      <c r="H44">
        <v>57500</v>
      </c>
      <c r="I44">
        <v>27600</v>
      </c>
      <c r="J44">
        <v>22632</v>
      </c>
      <c r="K44">
        <v>14031</v>
      </c>
      <c r="L44">
        <v>10382</v>
      </c>
      <c r="M44">
        <v>8928</v>
      </c>
      <c r="N44">
        <v>4133664</v>
      </c>
      <c r="O44">
        <v>4.2</v>
      </c>
      <c r="P44">
        <v>52</v>
      </c>
      <c r="Q44" t="s">
        <v>33</v>
      </c>
    </row>
    <row r="45" spans="1:17">
      <c r="A45">
        <v>1044</v>
      </c>
      <c r="B45" s="3">
        <v>45769</v>
      </c>
      <c r="C45" t="s">
        <v>41</v>
      </c>
      <c r="D45" t="s">
        <v>31</v>
      </c>
      <c r="E45" t="s">
        <v>24</v>
      </c>
      <c r="F45" t="s">
        <v>25</v>
      </c>
      <c r="G45" t="s">
        <v>30</v>
      </c>
      <c r="H45">
        <v>57500</v>
      </c>
      <c r="I45">
        <v>27600</v>
      </c>
      <c r="J45">
        <v>22632</v>
      </c>
      <c r="K45">
        <v>14031</v>
      </c>
      <c r="L45">
        <v>10382</v>
      </c>
      <c r="M45">
        <v>8928</v>
      </c>
      <c r="N45">
        <v>4133664</v>
      </c>
      <c r="O45">
        <v>4.0999999999999996</v>
      </c>
      <c r="P45">
        <v>41</v>
      </c>
      <c r="Q45" t="s">
        <v>27</v>
      </c>
    </row>
    <row r="46" spans="1:17">
      <c r="A46">
        <v>1045</v>
      </c>
      <c r="B46" s="3">
        <v>45770</v>
      </c>
      <c r="C46" t="s">
        <v>41</v>
      </c>
      <c r="D46" t="s">
        <v>28</v>
      </c>
      <c r="E46" t="s">
        <v>24</v>
      </c>
      <c r="F46" t="s">
        <v>25</v>
      </c>
      <c r="G46" t="s">
        <v>39</v>
      </c>
      <c r="H46">
        <v>57500</v>
      </c>
      <c r="I46">
        <v>27600</v>
      </c>
      <c r="J46">
        <v>22632</v>
      </c>
      <c r="K46">
        <v>14031</v>
      </c>
      <c r="L46">
        <v>10382</v>
      </c>
      <c r="M46">
        <v>8928</v>
      </c>
      <c r="N46">
        <v>4133664</v>
      </c>
      <c r="O46">
        <v>4</v>
      </c>
      <c r="P46">
        <v>35</v>
      </c>
      <c r="Q46" t="s">
        <v>33</v>
      </c>
    </row>
    <row r="47" spans="1:17">
      <c r="A47">
        <v>1046</v>
      </c>
      <c r="B47" s="3">
        <v>45771</v>
      </c>
      <c r="C47" t="s">
        <v>41</v>
      </c>
      <c r="D47" t="s">
        <v>34</v>
      </c>
      <c r="E47" t="s">
        <v>37</v>
      </c>
      <c r="F47" t="s">
        <v>29</v>
      </c>
      <c r="G47" t="s">
        <v>35</v>
      </c>
      <c r="H47">
        <v>57500</v>
      </c>
      <c r="I47">
        <v>27600</v>
      </c>
      <c r="J47">
        <v>22632</v>
      </c>
      <c r="K47">
        <v>14031</v>
      </c>
      <c r="L47">
        <v>10382</v>
      </c>
      <c r="M47">
        <v>8928</v>
      </c>
      <c r="N47">
        <v>4133664</v>
      </c>
      <c r="O47">
        <v>4</v>
      </c>
      <c r="P47">
        <v>48</v>
      </c>
      <c r="Q47" t="s">
        <v>33</v>
      </c>
    </row>
    <row r="48" spans="1:17">
      <c r="A48">
        <v>1047</v>
      </c>
      <c r="B48" s="3">
        <v>45769</v>
      </c>
      <c r="C48" t="s">
        <v>41</v>
      </c>
      <c r="D48" t="s">
        <v>34</v>
      </c>
      <c r="E48" t="s">
        <v>24</v>
      </c>
      <c r="F48" t="s">
        <v>25</v>
      </c>
      <c r="G48" t="s">
        <v>30</v>
      </c>
      <c r="H48">
        <v>57500</v>
      </c>
      <c r="I48">
        <v>27600</v>
      </c>
      <c r="J48">
        <v>22632</v>
      </c>
      <c r="K48">
        <v>14031</v>
      </c>
      <c r="L48">
        <v>10382</v>
      </c>
      <c r="M48">
        <v>8928</v>
      </c>
      <c r="N48">
        <v>4133664</v>
      </c>
      <c r="O48">
        <v>4.9000000000000004</v>
      </c>
      <c r="P48">
        <v>30</v>
      </c>
      <c r="Q48" t="s">
        <v>33</v>
      </c>
    </row>
    <row r="49" spans="1:17">
      <c r="A49">
        <v>1048</v>
      </c>
      <c r="B49" s="3">
        <v>45765</v>
      </c>
      <c r="C49" t="s">
        <v>41</v>
      </c>
      <c r="D49" t="s">
        <v>28</v>
      </c>
      <c r="E49" t="s">
        <v>32</v>
      </c>
      <c r="F49" t="s">
        <v>25</v>
      </c>
      <c r="G49" t="s">
        <v>39</v>
      </c>
      <c r="H49">
        <v>57500</v>
      </c>
      <c r="I49">
        <v>27600</v>
      </c>
      <c r="J49">
        <v>22632</v>
      </c>
      <c r="K49">
        <v>14031</v>
      </c>
      <c r="L49">
        <v>10382</v>
      </c>
      <c r="M49">
        <v>8928</v>
      </c>
      <c r="N49">
        <v>4133664</v>
      </c>
      <c r="O49">
        <v>4</v>
      </c>
      <c r="P49">
        <v>40</v>
      </c>
      <c r="Q49" t="s">
        <v>33</v>
      </c>
    </row>
    <row r="50" spans="1:17">
      <c r="A50">
        <v>1049</v>
      </c>
      <c r="B50" s="3">
        <v>45799</v>
      </c>
      <c r="C50" t="s">
        <v>42</v>
      </c>
      <c r="D50" t="s">
        <v>31</v>
      </c>
      <c r="E50" t="s">
        <v>32</v>
      </c>
      <c r="F50" t="s">
        <v>25</v>
      </c>
      <c r="G50" t="s">
        <v>26</v>
      </c>
      <c r="H50">
        <v>60000</v>
      </c>
      <c r="I50">
        <v>28800</v>
      </c>
      <c r="J50">
        <v>23616</v>
      </c>
      <c r="K50">
        <v>14641</v>
      </c>
      <c r="L50">
        <v>10834</v>
      </c>
      <c r="M50">
        <v>9317</v>
      </c>
      <c r="N50">
        <v>4155382</v>
      </c>
      <c r="O50">
        <v>4.4000000000000004</v>
      </c>
      <c r="P50">
        <v>19</v>
      </c>
      <c r="Q50" t="s">
        <v>27</v>
      </c>
    </row>
    <row r="51" spans="1:17">
      <c r="A51">
        <v>1050</v>
      </c>
      <c r="B51" s="3">
        <v>45795</v>
      </c>
      <c r="C51" t="s">
        <v>42</v>
      </c>
      <c r="D51" t="s">
        <v>28</v>
      </c>
      <c r="E51" t="s">
        <v>32</v>
      </c>
      <c r="F51" t="s">
        <v>29</v>
      </c>
      <c r="G51" t="s">
        <v>36</v>
      </c>
      <c r="H51">
        <v>60000</v>
      </c>
      <c r="I51">
        <v>28800</v>
      </c>
      <c r="J51">
        <v>23616</v>
      </c>
      <c r="K51">
        <v>14641</v>
      </c>
      <c r="L51">
        <v>10834</v>
      </c>
      <c r="M51">
        <v>9317</v>
      </c>
      <c r="N51">
        <v>4155382</v>
      </c>
      <c r="O51">
        <v>4</v>
      </c>
      <c r="P51">
        <v>28</v>
      </c>
      <c r="Q51" t="s">
        <v>33</v>
      </c>
    </row>
    <row r="52" spans="1:17">
      <c r="A52">
        <v>1051</v>
      </c>
      <c r="B52" s="3">
        <v>45787</v>
      </c>
      <c r="C52" t="s">
        <v>42</v>
      </c>
      <c r="D52" t="s">
        <v>31</v>
      </c>
      <c r="E52" t="s">
        <v>24</v>
      </c>
      <c r="F52" t="s">
        <v>25</v>
      </c>
      <c r="G52" t="s">
        <v>35</v>
      </c>
      <c r="H52">
        <v>60000</v>
      </c>
      <c r="I52">
        <v>28800</v>
      </c>
      <c r="J52">
        <v>23616</v>
      </c>
      <c r="K52">
        <v>14641</v>
      </c>
      <c r="L52">
        <v>10834</v>
      </c>
      <c r="M52">
        <v>9317</v>
      </c>
      <c r="N52">
        <v>4155382</v>
      </c>
      <c r="O52">
        <v>5</v>
      </c>
      <c r="P52">
        <v>19</v>
      </c>
      <c r="Q52" t="s">
        <v>33</v>
      </c>
    </row>
    <row r="53" spans="1:17">
      <c r="A53">
        <v>1052</v>
      </c>
      <c r="B53" s="3">
        <v>45793</v>
      </c>
      <c r="C53" t="s">
        <v>42</v>
      </c>
      <c r="D53" t="s">
        <v>23</v>
      </c>
      <c r="E53" t="s">
        <v>32</v>
      </c>
      <c r="F53" t="s">
        <v>29</v>
      </c>
      <c r="G53" t="s">
        <v>36</v>
      </c>
      <c r="H53">
        <v>60000</v>
      </c>
      <c r="I53">
        <v>28800</v>
      </c>
      <c r="J53">
        <v>23616</v>
      </c>
      <c r="K53">
        <v>14641</v>
      </c>
      <c r="L53">
        <v>10834</v>
      </c>
      <c r="M53">
        <v>9317</v>
      </c>
      <c r="N53">
        <v>4155382</v>
      </c>
      <c r="O53">
        <v>4.4000000000000004</v>
      </c>
      <c r="P53">
        <v>52</v>
      </c>
      <c r="Q53" t="s">
        <v>33</v>
      </c>
    </row>
    <row r="54" spans="1:17">
      <c r="A54">
        <v>1053</v>
      </c>
      <c r="B54" s="3">
        <v>45792</v>
      </c>
      <c r="C54" t="s">
        <v>42</v>
      </c>
      <c r="D54" t="s">
        <v>28</v>
      </c>
      <c r="E54" t="s">
        <v>37</v>
      </c>
      <c r="F54" t="s">
        <v>25</v>
      </c>
      <c r="G54" t="s">
        <v>36</v>
      </c>
      <c r="H54">
        <v>60000</v>
      </c>
      <c r="I54">
        <v>28800</v>
      </c>
      <c r="J54">
        <v>23616</v>
      </c>
      <c r="K54">
        <v>14641</v>
      </c>
      <c r="L54">
        <v>10834</v>
      </c>
      <c r="M54">
        <v>9317</v>
      </c>
      <c r="N54">
        <v>4155382</v>
      </c>
      <c r="O54">
        <v>4.7</v>
      </c>
      <c r="P54">
        <v>36</v>
      </c>
      <c r="Q54" t="s">
        <v>33</v>
      </c>
    </row>
    <row r="55" spans="1:17">
      <c r="A55">
        <v>1054</v>
      </c>
      <c r="B55" s="3">
        <v>45796</v>
      </c>
      <c r="C55" t="s">
        <v>42</v>
      </c>
      <c r="D55" t="s">
        <v>31</v>
      </c>
      <c r="E55" t="s">
        <v>24</v>
      </c>
      <c r="F55" t="s">
        <v>25</v>
      </c>
      <c r="G55" t="s">
        <v>26</v>
      </c>
      <c r="H55">
        <v>60000</v>
      </c>
      <c r="I55">
        <v>28800</v>
      </c>
      <c r="J55">
        <v>23616</v>
      </c>
      <c r="K55">
        <v>14641</v>
      </c>
      <c r="L55">
        <v>10834</v>
      </c>
      <c r="M55">
        <v>9317</v>
      </c>
      <c r="N55">
        <v>4155382</v>
      </c>
      <c r="O55">
        <v>4.7</v>
      </c>
      <c r="P55">
        <v>47</v>
      </c>
      <c r="Q55" t="s">
        <v>33</v>
      </c>
    </row>
    <row r="56" spans="1:17">
      <c r="A56">
        <v>1055</v>
      </c>
      <c r="B56" s="3">
        <v>45782</v>
      </c>
      <c r="C56" t="s">
        <v>42</v>
      </c>
      <c r="D56" t="s">
        <v>31</v>
      </c>
      <c r="E56" t="s">
        <v>24</v>
      </c>
      <c r="F56" t="s">
        <v>29</v>
      </c>
      <c r="G56" t="s">
        <v>36</v>
      </c>
      <c r="H56">
        <v>60000</v>
      </c>
      <c r="I56">
        <v>28800</v>
      </c>
      <c r="J56">
        <v>23616</v>
      </c>
      <c r="K56">
        <v>14641</v>
      </c>
      <c r="L56">
        <v>10834</v>
      </c>
      <c r="M56">
        <v>9317</v>
      </c>
      <c r="N56">
        <v>4155382</v>
      </c>
      <c r="O56">
        <v>3.9</v>
      </c>
      <c r="P56">
        <v>50</v>
      </c>
      <c r="Q56" t="s">
        <v>33</v>
      </c>
    </row>
    <row r="57" spans="1:17">
      <c r="A57">
        <v>1056</v>
      </c>
      <c r="B57" s="3">
        <v>45787</v>
      </c>
      <c r="C57" t="s">
        <v>42</v>
      </c>
      <c r="D57" t="s">
        <v>34</v>
      </c>
      <c r="E57" t="s">
        <v>24</v>
      </c>
      <c r="F57" t="s">
        <v>25</v>
      </c>
      <c r="G57" t="s">
        <v>36</v>
      </c>
      <c r="H57">
        <v>60000</v>
      </c>
      <c r="I57">
        <v>28800</v>
      </c>
      <c r="J57">
        <v>23616</v>
      </c>
      <c r="K57">
        <v>14641</v>
      </c>
      <c r="L57">
        <v>10834</v>
      </c>
      <c r="M57">
        <v>9317</v>
      </c>
      <c r="N57">
        <v>4155382</v>
      </c>
      <c r="O57">
        <v>4.7</v>
      </c>
      <c r="P57">
        <v>34</v>
      </c>
      <c r="Q57" t="s">
        <v>33</v>
      </c>
    </row>
    <row r="58" spans="1:17">
      <c r="A58">
        <v>1057</v>
      </c>
      <c r="B58" s="3">
        <v>45784</v>
      </c>
      <c r="C58" t="s">
        <v>42</v>
      </c>
      <c r="D58" t="s">
        <v>28</v>
      </c>
      <c r="E58" t="s">
        <v>24</v>
      </c>
      <c r="F58" t="s">
        <v>25</v>
      </c>
      <c r="G58" t="s">
        <v>26</v>
      </c>
      <c r="H58">
        <v>60000</v>
      </c>
      <c r="I58">
        <v>28800</v>
      </c>
      <c r="J58">
        <v>23616</v>
      </c>
      <c r="K58">
        <v>14641</v>
      </c>
      <c r="L58">
        <v>10834</v>
      </c>
      <c r="M58">
        <v>9317</v>
      </c>
      <c r="N58">
        <v>4155382</v>
      </c>
      <c r="O58">
        <v>3.9</v>
      </c>
      <c r="P58">
        <v>53</v>
      </c>
      <c r="Q58" t="s">
        <v>27</v>
      </c>
    </row>
    <row r="59" spans="1:17">
      <c r="A59">
        <v>1058</v>
      </c>
      <c r="B59" s="3">
        <v>45784</v>
      </c>
      <c r="C59" t="s">
        <v>42</v>
      </c>
      <c r="D59" t="s">
        <v>34</v>
      </c>
      <c r="E59" t="s">
        <v>32</v>
      </c>
      <c r="F59" t="s">
        <v>25</v>
      </c>
      <c r="G59" t="s">
        <v>36</v>
      </c>
      <c r="H59">
        <v>60000</v>
      </c>
      <c r="I59">
        <v>28800</v>
      </c>
      <c r="J59">
        <v>23616</v>
      </c>
      <c r="K59">
        <v>14641</v>
      </c>
      <c r="L59">
        <v>10834</v>
      </c>
      <c r="M59">
        <v>9317</v>
      </c>
      <c r="N59">
        <v>4155382</v>
      </c>
      <c r="O59">
        <v>3.8</v>
      </c>
      <c r="P59">
        <v>47</v>
      </c>
      <c r="Q59" t="s">
        <v>33</v>
      </c>
    </row>
    <row r="60" spans="1:17">
      <c r="A60">
        <v>1059</v>
      </c>
      <c r="B60" s="3">
        <v>45805</v>
      </c>
      <c r="C60" t="s">
        <v>42</v>
      </c>
      <c r="D60" t="s">
        <v>28</v>
      </c>
      <c r="E60" t="s">
        <v>24</v>
      </c>
      <c r="F60" t="s">
        <v>29</v>
      </c>
      <c r="G60" t="s">
        <v>35</v>
      </c>
      <c r="H60">
        <v>60000</v>
      </c>
      <c r="I60">
        <v>28800</v>
      </c>
      <c r="J60">
        <v>23616</v>
      </c>
      <c r="K60">
        <v>14641</v>
      </c>
      <c r="L60">
        <v>10834</v>
      </c>
      <c r="M60">
        <v>9317</v>
      </c>
      <c r="N60">
        <v>4155382</v>
      </c>
      <c r="O60">
        <v>3.9</v>
      </c>
      <c r="P60">
        <v>48</v>
      </c>
      <c r="Q60" t="s">
        <v>27</v>
      </c>
    </row>
    <row r="61" spans="1:17">
      <c r="A61">
        <v>1060</v>
      </c>
      <c r="B61" s="3">
        <v>45783</v>
      </c>
      <c r="C61" t="s">
        <v>42</v>
      </c>
      <c r="D61" t="s">
        <v>34</v>
      </c>
      <c r="E61" t="s">
        <v>37</v>
      </c>
      <c r="F61" t="s">
        <v>25</v>
      </c>
      <c r="G61" t="s">
        <v>39</v>
      </c>
      <c r="H61">
        <v>60000</v>
      </c>
      <c r="I61">
        <v>28800</v>
      </c>
      <c r="J61">
        <v>23616</v>
      </c>
      <c r="K61">
        <v>14641</v>
      </c>
      <c r="L61">
        <v>10834</v>
      </c>
      <c r="M61">
        <v>9317</v>
      </c>
      <c r="N61">
        <v>4155382</v>
      </c>
      <c r="O61">
        <v>5</v>
      </c>
      <c r="P61">
        <v>52</v>
      </c>
      <c r="Q61" t="s">
        <v>33</v>
      </c>
    </row>
    <row r="62" spans="1:17">
      <c r="A62">
        <v>1061</v>
      </c>
      <c r="B62" s="3">
        <v>45810</v>
      </c>
      <c r="C62" t="s">
        <v>43</v>
      </c>
      <c r="D62" t="s">
        <v>34</v>
      </c>
      <c r="E62" t="s">
        <v>32</v>
      </c>
      <c r="F62" t="s">
        <v>29</v>
      </c>
      <c r="G62" t="s">
        <v>36</v>
      </c>
      <c r="H62">
        <v>62500</v>
      </c>
      <c r="I62">
        <v>30000</v>
      </c>
      <c r="J62">
        <v>24600</v>
      </c>
      <c r="K62">
        <v>15252</v>
      </c>
      <c r="L62">
        <v>11286</v>
      </c>
      <c r="M62">
        <v>9705</v>
      </c>
      <c r="N62">
        <v>4454595</v>
      </c>
      <c r="O62">
        <v>4.5</v>
      </c>
      <c r="P62">
        <v>22</v>
      </c>
      <c r="Q62" t="s">
        <v>33</v>
      </c>
    </row>
    <row r="63" spans="1:17">
      <c r="A63">
        <v>1062</v>
      </c>
      <c r="B63" s="3">
        <v>45811</v>
      </c>
      <c r="C63" t="s">
        <v>43</v>
      </c>
      <c r="D63" t="s">
        <v>23</v>
      </c>
      <c r="E63" t="s">
        <v>32</v>
      </c>
      <c r="F63" t="s">
        <v>29</v>
      </c>
      <c r="G63" t="s">
        <v>35</v>
      </c>
      <c r="H63">
        <v>62500</v>
      </c>
      <c r="I63">
        <v>30000</v>
      </c>
      <c r="J63">
        <v>24600</v>
      </c>
      <c r="K63">
        <v>15252</v>
      </c>
      <c r="L63">
        <v>11286</v>
      </c>
      <c r="M63">
        <v>9705</v>
      </c>
      <c r="N63">
        <v>4454595</v>
      </c>
      <c r="O63">
        <v>4.5</v>
      </c>
      <c r="P63">
        <v>47</v>
      </c>
      <c r="Q63" t="s">
        <v>27</v>
      </c>
    </row>
    <row r="64" spans="1:17">
      <c r="A64">
        <v>1063</v>
      </c>
      <c r="B64" s="3">
        <v>45815</v>
      </c>
      <c r="C64" t="s">
        <v>43</v>
      </c>
      <c r="D64" t="s">
        <v>23</v>
      </c>
      <c r="E64" t="s">
        <v>32</v>
      </c>
      <c r="F64" t="s">
        <v>29</v>
      </c>
      <c r="G64" t="s">
        <v>39</v>
      </c>
      <c r="H64">
        <v>62500</v>
      </c>
      <c r="I64">
        <v>30000</v>
      </c>
      <c r="J64">
        <v>24600</v>
      </c>
      <c r="K64">
        <v>15252</v>
      </c>
      <c r="L64">
        <v>11286</v>
      </c>
      <c r="M64">
        <v>9705</v>
      </c>
      <c r="N64">
        <v>4454595</v>
      </c>
      <c r="O64">
        <v>4.0999999999999996</v>
      </c>
      <c r="P64">
        <v>44</v>
      </c>
      <c r="Q64" t="s">
        <v>27</v>
      </c>
    </row>
    <row r="65" spans="1:17">
      <c r="A65">
        <v>1064</v>
      </c>
      <c r="B65" s="3">
        <v>45816</v>
      </c>
      <c r="C65" t="s">
        <v>43</v>
      </c>
      <c r="D65" t="s">
        <v>23</v>
      </c>
      <c r="E65" t="s">
        <v>37</v>
      </c>
      <c r="F65" t="s">
        <v>29</v>
      </c>
      <c r="G65" t="s">
        <v>39</v>
      </c>
      <c r="H65">
        <v>62500</v>
      </c>
      <c r="I65">
        <v>30000</v>
      </c>
      <c r="J65">
        <v>24600</v>
      </c>
      <c r="K65">
        <v>15252</v>
      </c>
      <c r="L65">
        <v>11286</v>
      </c>
      <c r="M65">
        <v>9705</v>
      </c>
      <c r="N65">
        <v>4454595</v>
      </c>
      <c r="O65">
        <v>4.9000000000000004</v>
      </c>
      <c r="P65">
        <v>25</v>
      </c>
      <c r="Q65" t="s">
        <v>27</v>
      </c>
    </row>
    <row r="66" spans="1:17">
      <c r="A66">
        <v>1065</v>
      </c>
      <c r="B66" s="3">
        <v>45815</v>
      </c>
      <c r="C66" t="s">
        <v>43</v>
      </c>
      <c r="D66" t="s">
        <v>23</v>
      </c>
      <c r="E66" t="s">
        <v>24</v>
      </c>
      <c r="F66" t="s">
        <v>25</v>
      </c>
      <c r="G66" t="s">
        <v>36</v>
      </c>
      <c r="H66">
        <v>62500</v>
      </c>
      <c r="I66">
        <v>30000</v>
      </c>
      <c r="J66">
        <v>24600</v>
      </c>
      <c r="K66">
        <v>15252</v>
      </c>
      <c r="L66">
        <v>11286</v>
      </c>
      <c r="M66">
        <v>9705</v>
      </c>
      <c r="N66">
        <v>4454595</v>
      </c>
      <c r="O66">
        <v>4.5</v>
      </c>
      <c r="P66">
        <v>24</v>
      </c>
      <c r="Q66" t="s">
        <v>33</v>
      </c>
    </row>
    <row r="67" spans="1:17">
      <c r="A67">
        <v>1066</v>
      </c>
      <c r="B67" s="3">
        <v>45811</v>
      </c>
      <c r="C67" t="s">
        <v>43</v>
      </c>
      <c r="D67" t="s">
        <v>28</v>
      </c>
      <c r="E67" t="s">
        <v>32</v>
      </c>
      <c r="F67" t="s">
        <v>25</v>
      </c>
      <c r="G67" t="s">
        <v>26</v>
      </c>
      <c r="H67">
        <v>62500</v>
      </c>
      <c r="I67">
        <v>30000</v>
      </c>
      <c r="J67">
        <v>24600</v>
      </c>
      <c r="K67">
        <v>15252</v>
      </c>
      <c r="L67">
        <v>11286</v>
      </c>
      <c r="M67">
        <v>9705</v>
      </c>
      <c r="N67">
        <v>4454595</v>
      </c>
      <c r="O67">
        <v>4.8</v>
      </c>
      <c r="P67">
        <v>23</v>
      </c>
      <c r="Q67" t="s">
        <v>33</v>
      </c>
    </row>
    <row r="68" spans="1:17">
      <c r="A68">
        <v>1067</v>
      </c>
      <c r="B68" s="3">
        <v>45820</v>
      </c>
      <c r="C68" t="s">
        <v>43</v>
      </c>
      <c r="D68" t="s">
        <v>23</v>
      </c>
      <c r="E68" t="s">
        <v>24</v>
      </c>
      <c r="F68" t="s">
        <v>25</v>
      </c>
      <c r="G68" t="s">
        <v>35</v>
      </c>
      <c r="H68">
        <v>62500</v>
      </c>
      <c r="I68">
        <v>30000</v>
      </c>
      <c r="J68">
        <v>24600</v>
      </c>
      <c r="K68">
        <v>15252</v>
      </c>
      <c r="L68">
        <v>11286</v>
      </c>
      <c r="M68">
        <v>9705</v>
      </c>
      <c r="N68">
        <v>4454595</v>
      </c>
      <c r="O68">
        <v>4.8</v>
      </c>
      <c r="P68">
        <v>45</v>
      </c>
      <c r="Q68" t="s">
        <v>33</v>
      </c>
    </row>
    <row r="69" spans="1:17">
      <c r="A69">
        <v>1068</v>
      </c>
      <c r="B69" s="3">
        <v>45821</v>
      </c>
      <c r="C69" t="s">
        <v>43</v>
      </c>
      <c r="D69" t="s">
        <v>23</v>
      </c>
      <c r="E69" t="s">
        <v>24</v>
      </c>
      <c r="F69" t="s">
        <v>29</v>
      </c>
      <c r="G69" t="s">
        <v>35</v>
      </c>
      <c r="H69">
        <v>62500</v>
      </c>
      <c r="I69">
        <v>30000</v>
      </c>
      <c r="J69">
        <v>24600</v>
      </c>
      <c r="K69">
        <v>15252</v>
      </c>
      <c r="L69">
        <v>11286</v>
      </c>
      <c r="M69">
        <v>9705</v>
      </c>
      <c r="N69">
        <v>4454595</v>
      </c>
      <c r="O69">
        <v>4.7</v>
      </c>
      <c r="P69">
        <v>24</v>
      </c>
      <c r="Q69" t="s">
        <v>27</v>
      </c>
    </row>
    <row r="70" spans="1:17">
      <c r="A70">
        <v>1069</v>
      </c>
      <c r="B70" s="3">
        <v>45828</v>
      </c>
      <c r="C70" t="s">
        <v>43</v>
      </c>
      <c r="D70" t="s">
        <v>34</v>
      </c>
      <c r="E70" t="s">
        <v>24</v>
      </c>
      <c r="F70" t="s">
        <v>29</v>
      </c>
      <c r="G70" t="s">
        <v>36</v>
      </c>
      <c r="H70">
        <v>62500</v>
      </c>
      <c r="I70">
        <v>30000</v>
      </c>
      <c r="J70">
        <v>24600</v>
      </c>
      <c r="K70">
        <v>15252</v>
      </c>
      <c r="L70">
        <v>11286</v>
      </c>
      <c r="M70">
        <v>9705</v>
      </c>
      <c r="N70">
        <v>4454595</v>
      </c>
      <c r="O70">
        <v>4.5</v>
      </c>
      <c r="P70">
        <v>25</v>
      </c>
      <c r="Q70" t="s">
        <v>27</v>
      </c>
    </row>
    <row r="71" spans="1:17">
      <c r="A71">
        <v>1070</v>
      </c>
      <c r="B71" s="3">
        <v>45825</v>
      </c>
      <c r="C71" t="s">
        <v>43</v>
      </c>
      <c r="D71" t="s">
        <v>31</v>
      </c>
      <c r="E71" t="s">
        <v>32</v>
      </c>
      <c r="F71" t="s">
        <v>29</v>
      </c>
      <c r="G71" t="s">
        <v>36</v>
      </c>
      <c r="H71">
        <v>62500</v>
      </c>
      <c r="I71">
        <v>30000</v>
      </c>
      <c r="J71">
        <v>24600</v>
      </c>
      <c r="K71">
        <v>15252</v>
      </c>
      <c r="L71">
        <v>11286</v>
      </c>
      <c r="M71">
        <v>9705</v>
      </c>
      <c r="N71">
        <v>4454595</v>
      </c>
      <c r="O71">
        <v>4.5</v>
      </c>
      <c r="P71">
        <v>45</v>
      </c>
      <c r="Q71" t="s">
        <v>33</v>
      </c>
    </row>
    <row r="72" spans="1:17">
      <c r="A72">
        <v>1071</v>
      </c>
      <c r="B72" s="3">
        <v>45813</v>
      </c>
      <c r="C72" t="s">
        <v>43</v>
      </c>
      <c r="D72" t="s">
        <v>28</v>
      </c>
      <c r="E72" t="s">
        <v>32</v>
      </c>
      <c r="F72" t="s">
        <v>29</v>
      </c>
      <c r="G72" t="s">
        <v>36</v>
      </c>
      <c r="H72">
        <v>62500</v>
      </c>
      <c r="I72">
        <v>30000</v>
      </c>
      <c r="J72">
        <v>24600</v>
      </c>
      <c r="K72">
        <v>15252</v>
      </c>
      <c r="L72">
        <v>11286</v>
      </c>
      <c r="M72">
        <v>9705</v>
      </c>
      <c r="N72">
        <v>4454595</v>
      </c>
      <c r="O72">
        <v>3.9</v>
      </c>
      <c r="P72">
        <v>46</v>
      </c>
      <c r="Q72" t="s">
        <v>27</v>
      </c>
    </row>
    <row r="73" spans="1:17">
      <c r="A73">
        <v>1072</v>
      </c>
      <c r="B73" s="3">
        <v>45834</v>
      </c>
      <c r="C73" t="s">
        <v>43</v>
      </c>
      <c r="D73" t="s">
        <v>23</v>
      </c>
      <c r="E73" t="s">
        <v>24</v>
      </c>
      <c r="F73" t="s">
        <v>25</v>
      </c>
      <c r="G73" t="s">
        <v>35</v>
      </c>
      <c r="H73">
        <v>62500</v>
      </c>
      <c r="I73">
        <v>30000</v>
      </c>
      <c r="J73">
        <v>24600</v>
      </c>
      <c r="K73">
        <v>15252</v>
      </c>
      <c r="L73">
        <v>11286</v>
      </c>
      <c r="M73">
        <v>9705</v>
      </c>
      <c r="N73">
        <v>4454595</v>
      </c>
      <c r="O73">
        <v>4.5999999999999996</v>
      </c>
      <c r="P73">
        <v>35</v>
      </c>
      <c r="Q73" t="s">
        <v>27</v>
      </c>
    </row>
    <row r="74" spans="1:17">
      <c r="A74">
        <v>1073</v>
      </c>
      <c r="B74" s="3">
        <v>45857</v>
      </c>
      <c r="C74" t="s">
        <v>44</v>
      </c>
      <c r="D74" t="s">
        <v>28</v>
      </c>
      <c r="E74" t="s">
        <v>32</v>
      </c>
      <c r="F74" t="s">
        <v>29</v>
      </c>
      <c r="G74" t="s">
        <v>26</v>
      </c>
      <c r="H74">
        <v>65000</v>
      </c>
      <c r="I74">
        <v>31200</v>
      </c>
      <c r="J74">
        <v>25584</v>
      </c>
      <c r="K74">
        <v>15862</v>
      </c>
      <c r="L74">
        <v>11737</v>
      </c>
      <c r="M74">
        <v>10093</v>
      </c>
      <c r="N74">
        <v>4420734</v>
      </c>
      <c r="O74">
        <v>4.7</v>
      </c>
      <c r="P74">
        <v>53</v>
      </c>
      <c r="Q74" t="s">
        <v>33</v>
      </c>
    </row>
    <row r="75" spans="1:17">
      <c r="A75">
        <v>1074</v>
      </c>
      <c r="B75" s="3">
        <v>45845</v>
      </c>
      <c r="C75" t="s">
        <v>44</v>
      </c>
      <c r="D75" t="s">
        <v>31</v>
      </c>
      <c r="E75" t="s">
        <v>37</v>
      </c>
      <c r="F75" t="s">
        <v>29</v>
      </c>
      <c r="G75" t="s">
        <v>39</v>
      </c>
      <c r="H75">
        <v>65000</v>
      </c>
      <c r="I75">
        <v>31200</v>
      </c>
      <c r="J75">
        <v>25584</v>
      </c>
      <c r="K75">
        <v>15862</v>
      </c>
      <c r="L75">
        <v>11737</v>
      </c>
      <c r="M75">
        <v>10093</v>
      </c>
      <c r="N75">
        <v>4420734</v>
      </c>
      <c r="O75">
        <v>4.5999999999999996</v>
      </c>
      <c r="P75">
        <v>52</v>
      </c>
      <c r="Q75" t="s">
        <v>33</v>
      </c>
    </row>
    <row r="76" spans="1:17">
      <c r="A76">
        <v>1075</v>
      </c>
      <c r="B76" s="3">
        <v>45852</v>
      </c>
      <c r="C76" t="s">
        <v>44</v>
      </c>
      <c r="D76" t="s">
        <v>23</v>
      </c>
      <c r="E76" t="s">
        <v>32</v>
      </c>
      <c r="F76" t="s">
        <v>25</v>
      </c>
      <c r="G76" t="s">
        <v>39</v>
      </c>
      <c r="H76">
        <v>65000</v>
      </c>
      <c r="I76">
        <v>31200</v>
      </c>
      <c r="J76">
        <v>25584</v>
      </c>
      <c r="K76">
        <v>15862</v>
      </c>
      <c r="L76">
        <v>11737</v>
      </c>
      <c r="M76">
        <v>10093</v>
      </c>
      <c r="N76">
        <v>4420734</v>
      </c>
      <c r="O76">
        <v>4.5</v>
      </c>
      <c r="P76">
        <v>44</v>
      </c>
      <c r="Q76" t="s">
        <v>27</v>
      </c>
    </row>
    <row r="77" spans="1:17">
      <c r="A77">
        <v>1076</v>
      </c>
      <c r="B77" s="3">
        <v>45861</v>
      </c>
      <c r="C77" t="s">
        <v>44</v>
      </c>
      <c r="D77" t="s">
        <v>31</v>
      </c>
      <c r="E77" t="s">
        <v>32</v>
      </c>
      <c r="F77" t="s">
        <v>29</v>
      </c>
      <c r="G77" t="s">
        <v>39</v>
      </c>
      <c r="H77">
        <v>65000</v>
      </c>
      <c r="I77">
        <v>31200</v>
      </c>
      <c r="J77">
        <v>25584</v>
      </c>
      <c r="K77">
        <v>15862</v>
      </c>
      <c r="L77">
        <v>11737</v>
      </c>
      <c r="M77">
        <v>10093</v>
      </c>
      <c r="N77">
        <v>4420734</v>
      </c>
      <c r="O77">
        <v>3.9</v>
      </c>
      <c r="P77">
        <v>52</v>
      </c>
      <c r="Q77" t="s">
        <v>33</v>
      </c>
    </row>
    <row r="78" spans="1:17">
      <c r="A78">
        <v>1077</v>
      </c>
      <c r="B78" s="3">
        <v>45854</v>
      </c>
      <c r="C78" t="s">
        <v>44</v>
      </c>
      <c r="D78" t="s">
        <v>28</v>
      </c>
      <c r="E78" t="s">
        <v>24</v>
      </c>
      <c r="F78" t="s">
        <v>25</v>
      </c>
      <c r="G78" t="s">
        <v>36</v>
      </c>
      <c r="H78">
        <v>65000</v>
      </c>
      <c r="I78">
        <v>31200</v>
      </c>
      <c r="J78">
        <v>25584</v>
      </c>
      <c r="K78">
        <v>15862</v>
      </c>
      <c r="L78">
        <v>11737</v>
      </c>
      <c r="M78">
        <v>10093</v>
      </c>
      <c r="N78">
        <v>4420734</v>
      </c>
      <c r="O78">
        <v>4.5</v>
      </c>
      <c r="P78">
        <v>24</v>
      </c>
      <c r="Q78" t="s">
        <v>33</v>
      </c>
    </row>
    <row r="79" spans="1:17">
      <c r="A79">
        <v>1078</v>
      </c>
      <c r="B79" s="3">
        <v>45839</v>
      </c>
      <c r="C79" t="s">
        <v>44</v>
      </c>
      <c r="D79" t="s">
        <v>31</v>
      </c>
      <c r="E79" t="s">
        <v>37</v>
      </c>
      <c r="F79" t="s">
        <v>25</v>
      </c>
      <c r="G79" t="s">
        <v>39</v>
      </c>
      <c r="H79">
        <v>65000</v>
      </c>
      <c r="I79">
        <v>31200</v>
      </c>
      <c r="J79">
        <v>25584</v>
      </c>
      <c r="K79">
        <v>15862</v>
      </c>
      <c r="L79">
        <v>11737</v>
      </c>
      <c r="M79">
        <v>10093</v>
      </c>
      <c r="N79">
        <v>4420734</v>
      </c>
      <c r="O79">
        <v>5</v>
      </c>
      <c r="P79">
        <v>38</v>
      </c>
      <c r="Q79" t="s">
        <v>33</v>
      </c>
    </row>
    <row r="80" spans="1:17">
      <c r="A80">
        <v>1079</v>
      </c>
      <c r="B80" s="3">
        <v>45842</v>
      </c>
      <c r="C80" t="s">
        <v>44</v>
      </c>
      <c r="D80" t="s">
        <v>34</v>
      </c>
      <c r="E80" t="s">
        <v>24</v>
      </c>
      <c r="F80" t="s">
        <v>29</v>
      </c>
      <c r="G80" t="s">
        <v>26</v>
      </c>
      <c r="H80">
        <v>65000</v>
      </c>
      <c r="I80">
        <v>31200</v>
      </c>
      <c r="J80">
        <v>25584</v>
      </c>
      <c r="K80">
        <v>15862</v>
      </c>
      <c r="L80">
        <v>11737</v>
      </c>
      <c r="M80">
        <v>10093</v>
      </c>
      <c r="N80">
        <v>4420734</v>
      </c>
      <c r="O80">
        <v>4</v>
      </c>
      <c r="P80">
        <v>46</v>
      </c>
      <c r="Q80" t="s">
        <v>27</v>
      </c>
    </row>
    <row r="81" spans="1:17">
      <c r="A81">
        <v>1080</v>
      </c>
      <c r="B81" s="3">
        <v>45866</v>
      </c>
      <c r="C81" t="s">
        <v>44</v>
      </c>
      <c r="D81" t="s">
        <v>28</v>
      </c>
      <c r="E81" t="s">
        <v>32</v>
      </c>
      <c r="F81" t="s">
        <v>25</v>
      </c>
      <c r="G81" t="s">
        <v>30</v>
      </c>
      <c r="H81">
        <v>65000</v>
      </c>
      <c r="I81">
        <v>31200</v>
      </c>
      <c r="J81">
        <v>25584</v>
      </c>
      <c r="K81">
        <v>15862</v>
      </c>
      <c r="L81">
        <v>11737</v>
      </c>
      <c r="M81">
        <v>10093</v>
      </c>
      <c r="N81">
        <v>4420734</v>
      </c>
      <c r="O81">
        <v>4.4000000000000004</v>
      </c>
      <c r="P81">
        <v>24</v>
      </c>
      <c r="Q81" t="s">
        <v>33</v>
      </c>
    </row>
    <row r="82" spans="1:17">
      <c r="A82">
        <v>1081</v>
      </c>
      <c r="B82" s="3">
        <v>45864</v>
      </c>
      <c r="C82" t="s">
        <v>44</v>
      </c>
      <c r="D82" t="s">
        <v>31</v>
      </c>
      <c r="E82" t="s">
        <v>24</v>
      </c>
      <c r="F82" t="s">
        <v>29</v>
      </c>
      <c r="G82" t="s">
        <v>39</v>
      </c>
      <c r="H82">
        <v>65000</v>
      </c>
      <c r="I82">
        <v>31200</v>
      </c>
      <c r="J82">
        <v>25584</v>
      </c>
      <c r="K82">
        <v>15862</v>
      </c>
      <c r="L82">
        <v>11737</v>
      </c>
      <c r="M82">
        <v>10093</v>
      </c>
      <c r="N82">
        <v>4420734</v>
      </c>
      <c r="O82">
        <v>4.5</v>
      </c>
      <c r="P82">
        <v>26</v>
      </c>
      <c r="Q82" t="s">
        <v>33</v>
      </c>
    </row>
    <row r="83" spans="1:17">
      <c r="A83">
        <v>1082</v>
      </c>
      <c r="B83" s="3">
        <v>45858</v>
      </c>
      <c r="C83" t="s">
        <v>44</v>
      </c>
      <c r="D83" t="s">
        <v>34</v>
      </c>
      <c r="E83" t="s">
        <v>37</v>
      </c>
      <c r="F83" t="s">
        <v>25</v>
      </c>
      <c r="G83" t="s">
        <v>36</v>
      </c>
      <c r="H83">
        <v>65000</v>
      </c>
      <c r="I83">
        <v>31200</v>
      </c>
      <c r="J83">
        <v>25584</v>
      </c>
      <c r="K83">
        <v>15862</v>
      </c>
      <c r="L83">
        <v>11737</v>
      </c>
      <c r="M83">
        <v>10093</v>
      </c>
      <c r="N83">
        <v>4420734</v>
      </c>
      <c r="O83">
        <v>4.2</v>
      </c>
      <c r="P83">
        <v>19</v>
      </c>
      <c r="Q83" t="s">
        <v>27</v>
      </c>
    </row>
    <row r="84" spans="1:17">
      <c r="A84">
        <v>1083</v>
      </c>
      <c r="B84" s="3">
        <v>45841</v>
      </c>
      <c r="C84" t="s">
        <v>44</v>
      </c>
      <c r="D84" t="s">
        <v>23</v>
      </c>
      <c r="E84" t="s">
        <v>24</v>
      </c>
      <c r="F84" t="s">
        <v>25</v>
      </c>
      <c r="G84" t="s">
        <v>35</v>
      </c>
      <c r="H84">
        <v>65000</v>
      </c>
      <c r="I84">
        <v>31200</v>
      </c>
      <c r="J84">
        <v>25584</v>
      </c>
      <c r="K84">
        <v>15862</v>
      </c>
      <c r="L84">
        <v>11737</v>
      </c>
      <c r="M84">
        <v>10093</v>
      </c>
      <c r="N84">
        <v>4420734</v>
      </c>
      <c r="O84">
        <v>4.2</v>
      </c>
      <c r="P84">
        <v>36</v>
      </c>
      <c r="Q84" t="s">
        <v>27</v>
      </c>
    </row>
    <row r="85" spans="1:17">
      <c r="A85">
        <v>1084</v>
      </c>
      <c r="B85" s="3">
        <v>45863</v>
      </c>
      <c r="C85" t="s">
        <v>44</v>
      </c>
      <c r="D85" t="s">
        <v>28</v>
      </c>
      <c r="E85" t="s">
        <v>37</v>
      </c>
      <c r="F85" t="s">
        <v>25</v>
      </c>
      <c r="G85" t="s">
        <v>36</v>
      </c>
      <c r="H85">
        <v>65000</v>
      </c>
      <c r="I85">
        <v>31200</v>
      </c>
      <c r="J85">
        <v>25584</v>
      </c>
      <c r="K85">
        <v>15862</v>
      </c>
      <c r="L85">
        <v>11737</v>
      </c>
      <c r="M85">
        <v>10093</v>
      </c>
      <c r="N85">
        <v>4420734</v>
      </c>
      <c r="O85">
        <v>3.9</v>
      </c>
      <c r="P85">
        <v>18</v>
      </c>
      <c r="Q85" t="s">
        <v>33</v>
      </c>
    </row>
    <row r="86" spans="1:17">
      <c r="A86">
        <v>1085</v>
      </c>
      <c r="B86" s="3">
        <v>45870</v>
      </c>
      <c r="C86" t="s">
        <v>45</v>
      </c>
      <c r="D86" t="s">
        <v>28</v>
      </c>
      <c r="E86" t="s">
        <v>24</v>
      </c>
      <c r="F86" t="s">
        <v>25</v>
      </c>
      <c r="G86" t="s">
        <v>35</v>
      </c>
      <c r="H86">
        <v>67500</v>
      </c>
      <c r="I86">
        <v>32400</v>
      </c>
      <c r="J86">
        <v>26568</v>
      </c>
      <c r="K86">
        <v>16472</v>
      </c>
      <c r="L86">
        <v>12189</v>
      </c>
      <c r="M86">
        <v>10482</v>
      </c>
      <c r="N86">
        <v>4654008</v>
      </c>
      <c r="O86">
        <v>4</v>
      </c>
      <c r="P86">
        <v>28</v>
      </c>
      <c r="Q86" t="s">
        <v>27</v>
      </c>
    </row>
    <row r="87" spans="1:17">
      <c r="A87">
        <v>1086</v>
      </c>
      <c r="B87" s="3">
        <v>45879</v>
      </c>
      <c r="C87" t="s">
        <v>45</v>
      </c>
      <c r="D87" t="s">
        <v>34</v>
      </c>
      <c r="E87" t="s">
        <v>37</v>
      </c>
      <c r="F87" t="s">
        <v>25</v>
      </c>
      <c r="G87" t="s">
        <v>39</v>
      </c>
      <c r="H87">
        <v>67500</v>
      </c>
      <c r="I87">
        <v>32400</v>
      </c>
      <c r="J87">
        <v>26568</v>
      </c>
      <c r="K87">
        <v>16472</v>
      </c>
      <c r="L87">
        <v>12189</v>
      </c>
      <c r="M87">
        <v>10482</v>
      </c>
      <c r="N87">
        <v>4654008</v>
      </c>
      <c r="O87">
        <v>4.4000000000000004</v>
      </c>
      <c r="P87">
        <v>30</v>
      </c>
      <c r="Q87" t="s">
        <v>27</v>
      </c>
    </row>
    <row r="88" spans="1:17">
      <c r="A88">
        <v>1087</v>
      </c>
      <c r="B88" s="3">
        <v>45873</v>
      </c>
      <c r="C88" t="s">
        <v>45</v>
      </c>
      <c r="D88" t="s">
        <v>34</v>
      </c>
      <c r="E88" t="s">
        <v>37</v>
      </c>
      <c r="F88" t="s">
        <v>25</v>
      </c>
      <c r="G88" t="s">
        <v>39</v>
      </c>
      <c r="H88">
        <v>67500</v>
      </c>
      <c r="I88">
        <v>32400</v>
      </c>
      <c r="J88">
        <v>26568</v>
      </c>
      <c r="K88">
        <v>16472</v>
      </c>
      <c r="L88">
        <v>12189</v>
      </c>
      <c r="M88">
        <v>10482</v>
      </c>
      <c r="N88">
        <v>4654008</v>
      </c>
      <c r="O88">
        <v>4.2</v>
      </c>
      <c r="P88">
        <v>26</v>
      </c>
      <c r="Q88" t="s">
        <v>33</v>
      </c>
    </row>
    <row r="89" spans="1:17">
      <c r="A89">
        <v>1088</v>
      </c>
      <c r="B89" s="3">
        <v>45874</v>
      </c>
      <c r="C89" t="s">
        <v>45</v>
      </c>
      <c r="D89" t="s">
        <v>31</v>
      </c>
      <c r="E89" t="s">
        <v>37</v>
      </c>
      <c r="F89" t="s">
        <v>29</v>
      </c>
      <c r="G89" t="s">
        <v>36</v>
      </c>
      <c r="H89">
        <v>67500</v>
      </c>
      <c r="I89">
        <v>32400</v>
      </c>
      <c r="J89">
        <v>26568</v>
      </c>
      <c r="K89">
        <v>16472</v>
      </c>
      <c r="L89">
        <v>12189</v>
      </c>
      <c r="M89">
        <v>10482</v>
      </c>
      <c r="N89">
        <v>4654008</v>
      </c>
      <c r="O89">
        <v>3.9</v>
      </c>
      <c r="P89">
        <v>30</v>
      </c>
      <c r="Q89" t="s">
        <v>27</v>
      </c>
    </row>
    <row r="90" spans="1:17">
      <c r="A90">
        <v>1089</v>
      </c>
      <c r="B90" s="3">
        <v>45892</v>
      </c>
      <c r="C90" t="s">
        <v>45</v>
      </c>
      <c r="D90" t="s">
        <v>31</v>
      </c>
      <c r="E90" t="s">
        <v>32</v>
      </c>
      <c r="F90" t="s">
        <v>29</v>
      </c>
      <c r="G90" t="s">
        <v>26</v>
      </c>
      <c r="H90">
        <v>67500</v>
      </c>
      <c r="I90">
        <v>32400</v>
      </c>
      <c r="J90">
        <v>26568</v>
      </c>
      <c r="K90">
        <v>16472</v>
      </c>
      <c r="L90">
        <v>12189</v>
      </c>
      <c r="M90">
        <v>10482</v>
      </c>
      <c r="N90">
        <v>4654008</v>
      </c>
      <c r="O90">
        <v>5</v>
      </c>
      <c r="P90">
        <v>41</v>
      </c>
      <c r="Q90" t="s">
        <v>33</v>
      </c>
    </row>
    <row r="91" spans="1:17">
      <c r="A91">
        <v>1090</v>
      </c>
      <c r="B91" s="3">
        <v>45892</v>
      </c>
      <c r="C91" t="s">
        <v>45</v>
      </c>
      <c r="D91" t="s">
        <v>23</v>
      </c>
      <c r="E91" t="s">
        <v>24</v>
      </c>
      <c r="F91" t="s">
        <v>29</v>
      </c>
      <c r="G91" t="s">
        <v>26</v>
      </c>
      <c r="H91">
        <v>67500</v>
      </c>
      <c r="I91">
        <v>32400</v>
      </c>
      <c r="J91">
        <v>26568</v>
      </c>
      <c r="K91">
        <v>16472</v>
      </c>
      <c r="L91">
        <v>12189</v>
      </c>
      <c r="M91">
        <v>10482</v>
      </c>
      <c r="N91">
        <v>4654008</v>
      </c>
      <c r="O91">
        <v>4.2</v>
      </c>
      <c r="P91">
        <v>33</v>
      </c>
      <c r="Q91" t="s">
        <v>33</v>
      </c>
    </row>
    <row r="92" spans="1:17">
      <c r="A92">
        <v>1091</v>
      </c>
      <c r="B92" s="3">
        <v>45892</v>
      </c>
      <c r="C92" t="s">
        <v>45</v>
      </c>
      <c r="D92" t="s">
        <v>23</v>
      </c>
      <c r="E92" t="s">
        <v>32</v>
      </c>
      <c r="F92" t="s">
        <v>25</v>
      </c>
      <c r="G92" t="s">
        <v>36</v>
      </c>
      <c r="H92">
        <v>67500</v>
      </c>
      <c r="I92">
        <v>32400</v>
      </c>
      <c r="J92">
        <v>26568</v>
      </c>
      <c r="K92">
        <v>16472</v>
      </c>
      <c r="L92">
        <v>12189</v>
      </c>
      <c r="M92">
        <v>10482</v>
      </c>
      <c r="N92">
        <v>4654008</v>
      </c>
      <c r="O92">
        <v>4.8</v>
      </c>
      <c r="P92">
        <v>19</v>
      </c>
      <c r="Q92" t="s">
        <v>33</v>
      </c>
    </row>
    <row r="93" spans="1:17">
      <c r="A93">
        <v>1092</v>
      </c>
      <c r="B93" s="3">
        <v>45897</v>
      </c>
      <c r="C93" t="s">
        <v>45</v>
      </c>
      <c r="D93" t="s">
        <v>28</v>
      </c>
      <c r="E93" t="s">
        <v>24</v>
      </c>
      <c r="F93" t="s">
        <v>29</v>
      </c>
      <c r="G93" t="s">
        <v>26</v>
      </c>
      <c r="H93">
        <v>67500</v>
      </c>
      <c r="I93">
        <v>32400</v>
      </c>
      <c r="J93">
        <v>26568</v>
      </c>
      <c r="K93">
        <v>16472</v>
      </c>
      <c r="L93">
        <v>12189</v>
      </c>
      <c r="M93">
        <v>10482</v>
      </c>
      <c r="N93">
        <v>4654008</v>
      </c>
      <c r="O93">
        <v>3.9</v>
      </c>
      <c r="P93">
        <v>34</v>
      </c>
      <c r="Q93" t="s">
        <v>27</v>
      </c>
    </row>
    <row r="94" spans="1:17">
      <c r="A94">
        <v>1093</v>
      </c>
      <c r="B94" s="3">
        <v>45886</v>
      </c>
      <c r="C94" t="s">
        <v>45</v>
      </c>
      <c r="D94" t="s">
        <v>31</v>
      </c>
      <c r="E94" t="s">
        <v>37</v>
      </c>
      <c r="F94" t="s">
        <v>29</v>
      </c>
      <c r="G94" t="s">
        <v>30</v>
      </c>
      <c r="H94">
        <v>67500</v>
      </c>
      <c r="I94">
        <v>32400</v>
      </c>
      <c r="J94">
        <v>26568</v>
      </c>
      <c r="K94">
        <v>16472</v>
      </c>
      <c r="L94">
        <v>12189</v>
      </c>
      <c r="M94">
        <v>10482</v>
      </c>
      <c r="N94">
        <v>4654008</v>
      </c>
      <c r="O94">
        <v>4.2</v>
      </c>
      <c r="P94">
        <v>25</v>
      </c>
      <c r="Q94" t="s">
        <v>27</v>
      </c>
    </row>
    <row r="95" spans="1:17">
      <c r="A95">
        <v>1094</v>
      </c>
      <c r="B95" s="3">
        <v>45889</v>
      </c>
      <c r="C95" t="s">
        <v>45</v>
      </c>
      <c r="D95" t="s">
        <v>34</v>
      </c>
      <c r="E95" t="s">
        <v>24</v>
      </c>
      <c r="F95" t="s">
        <v>25</v>
      </c>
      <c r="G95" t="s">
        <v>26</v>
      </c>
      <c r="H95">
        <v>67500</v>
      </c>
      <c r="I95">
        <v>32400</v>
      </c>
      <c r="J95">
        <v>26568</v>
      </c>
      <c r="K95">
        <v>16472</v>
      </c>
      <c r="L95">
        <v>12189</v>
      </c>
      <c r="M95">
        <v>10482</v>
      </c>
      <c r="N95">
        <v>4654008</v>
      </c>
      <c r="O95">
        <v>3.8</v>
      </c>
      <c r="P95">
        <v>26</v>
      </c>
      <c r="Q95" t="s">
        <v>33</v>
      </c>
    </row>
    <row r="96" spans="1:17">
      <c r="A96">
        <v>1095</v>
      </c>
      <c r="B96" s="3">
        <v>45886</v>
      </c>
      <c r="C96" t="s">
        <v>45</v>
      </c>
      <c r="D96" t="s">
        <v>31</v>
      </c>
      <c r="E96" t="s">
        <v>37</v>
      </c>
      <c r="F96" t="s">
        <v>29</v>
      </c>
      <c r="G96" t="s">
        <v>35</v>
      </c>
      <c r="H96">
        <v>67500</v>
      </c>
      <c r="I96">
        <v>32400</v>
      </c>
      <c r="J96">
        <v>26568</v>
      </c>
      <c r="K96">
        <v>16472</v>
      </c>
      <c r="L96">
        <v>12189</v>
      </c>
      <c r="M96">
        <v>10482</v>
      </c>
      <c r="N96">
        <v>4654008</v>
      </c>
      <c r="O96">
        <v>4.9000000000000004</v>
      </c>
      <c r="P96">
        <v>35</v>
      </c>
      <c r="Q96" t="s">
        <v>27</v>
      </c>
    </row>
    <row r="97" spans="1:17">
      <c r="A97">
        <v>1096</v>
      </c>
      <c r="B97" s="3">
        <v>45877</v>
      </c>
      <c r="C97" t="s">
        <v>45</v>
      </c>
      <c r="D97" t="s">
        <v>28</v>
      </c>
      <c r="E97" t="s">
        <v>24</v>
      </c>
      <c r="F97" t="s">
        <v>25</v>
      </c>
      <c r="G97" t="s">
        <v>26</v>
      </c>
      <c r="H97">
        <v>67500</v>
      </c>
      <c r="I97">
        <v>32400</v>
      </c>
      <c r="J97">
        <v>26568</v>
      </c>
      <c r="K97">
        <v>16472</v>
      </c>
      <c r="L97">
        <v>12189</v>
      </c>
      <c r="M97">
        <v>10482</v>
      </c>
      <c r="N97">
        <v>4654008</v>
      </c>
      <c r="O97">
        <v>4.9000000000000004</v>
      </c>
      <c r="P97">
        <v>48</v>
      </c>
      <c r="Q97" t="s">
        <v>33</v>
      </c>
    </row>
    <row r="98" spans="1:17">
      <c r="A98">
        <v>1097</v>
      </c>
      <c r="B98" s="3">
        <v>45926</v>
      </c>
      <c r="C98" t="s">
        <v>46</v>
      </c>
      <c r="D98" t="s">
        <v>28</v>
      </c>
      <c r="E98" t="s">
        <v>32</v>
      </c>
      <c r="F98" t="s">
        <v>29</v>
      </c>
      <c r="G98" t="s">
        <v>30</v>
      </c>
      <c r="H98">
        <v>70000</v>
      </c>
      <c r="I98">
        <v>33600</v>
      </c>
      <c r="J98">
        <v>27552</v>
      </c>
      <c r="K98">
        <v>17082</v>
      </c>
      <c r="L98">
        <v>12640</v>
      </c>
      <c r="M98">
        <v>10870</v>
      </c>
      <c r="N98">
        <v>4978460</v>
      </c>
      <c r="O98">
        <v>4.5999999999999996</v>
      </c>
      <c r="P98">
        <v>22</v>
      </c>
      <c r="Q98" t="s">
        <v>27</v>
      </c>
    </row>
    <row r="99" spans="1:17">
      <c r="A99">
        <v>1098</v>
      </c>
      <c r="B99" s="3">
        <v>45904</v>
      </c>
      <c r="C99" t="s">
        <v>46</v>
      </c>
      <c r="D99" t="s">
        <v>23</v>
      </c>
      <c r="E99" t="s">
        <v>24</v>
      </c>
      <c r="F99" t="s">
        <v>25</v>
      </c>
      <c r="G99" t="s">
        <v>35</v>
      </c>
      <c r="H99">
        <v>70000</v>
      </c>
      <c r="I99">
        <v>33600</v>
      </c>
      <c r="J99">
        <v>27552</v>
      </c>
      <c r="K99">
        <v>17082</v>
      </c>
      <c r="L99">
        <v>12640</v>
      </c>
      <c r="M99">
        <v>10870</v>
      </c>
      <c r="N99">
        <v>4978460</v>
      </c>
      <c r="O99">
        <v>4.4000000000000004</v>
      </c>
      <c r="P99">
        <v>23</v>
      </c>
      <c r="Q99" t="s">
        <v>33</v>
      </c>
    </row>
    <row r="100" spans="1:17">
      <c r="A100">
        <v>1099</v>
      </c>
      <c r="B100" s="3">
        <v>45904</v>
      </c>
      <c r="C100" t="s">
        <v>46</v>
      </c>
      <c r="D100" t="s">
        <v>31</v>
      </c>
      <c r="E100" t="s">
        <v>37</v>
      </c>
      <c r="F100" t="s">
        <v>25</v>
      </c>
      <c r="G100" t="s">
        <v>36</v>
      </c>
      <c r="H100">
        <v>70000</v>
      </c>
      <c r="I100">
        <v>33600</v>
      </c>
      <c r="J100">
        <v>27552</v>
      </c>
      <c r="K100">
        <v>17082</v>
      </c>
      <c r="L100">
        <v>12640</v>
      </c>
      <c r="M100">
        <v>10870</v>
      </c>
      <c r="N100">
        <v>4978460</v>
      </c>
      <c r="O100">
        <v>4.8</v>
      </c>
      <c r="P100">
        <v>36</v>
      </c>
      <c r="Q100" t="s">
        <v>27</v>
      </c>
    </row>
    <row r="101" spans="1:17">
      <c r="A101">
        <v>1100</v>
      </c>
      <c r="B101" s="3">
        <v>45904</v>
      </c>
      <c r="C101" t="s">
        <v>46</v>
      </c>
      <c r="D101" t="s">
        <v>23</v>
      </c>
      <c r="E101" t="s">
        <v>37</v>
      </c>
      <c r="F101" t="s">
        <v>25</v>
      </c>
      <c r="G101" t="s">
        <v>36</v>
      </c>
      <c r="H101">
        <v>70000</v>
      </c>
      <c r="I101">
        <v>33600</v>
      </c>
      <c r="J101">
        <v>27552</v>
      </c>
      <c r="K101">
        <v>17082</v>
      </c>
      <c r="L101">
        <v>12640</v>
      </c>
      <c r="M101">
        <v>10870</v>
      </c>
      <c r="N101">
        <v>4978460</v>
      </c>
      <c r="O101">
        <v>4.2</v>
      </c>
      <c r="P101">
        <v>41</v>
      </c>
      <c r="Q101" t="s">
        <v>33</v>
      </c>
    </row>
    <row r="102" spans="1:17">
      <c r="A102">
        <v>1101</v>
      </c>
      <c r="B102" s="3">
        <v>45918</v>
      </c>
      <c r="C102" t="s">
        <v>46</v>
      </c>
      <c r="D102" t="s">
        <v>31</v>
      </c>
      <c r="E102" t="s">
        <v>37</v>
      </c>
      <c r="F102" t="s">
        <v>29</v>
      </c>
      <c r="G102" t="s">
        <v>36</v>
      </c>
      <c r="H102">
        <v>70000</v>
      </c>
      <c r="I102">
        <v>33600</v>
      </c>
      <c r="J102">
        <v>27552</v>
      </c>
      <c r="K102">
        <v>17082</v>
      </c>
      <c r="L102">
        <v>12640</v>
      </c>
      <c r="M102">
        <v>10870</v>
      </c>
      <c r="N102">
        <v>4978460</v>
      </c>
      <c r="O102">
        <v>4.0999999999999996</v>
      </c>
      <c r="P102">
        <v>21</v>
      </c>
      <c r="Q102" t="s">
        <v>27</v>
      </c>
    </row>
    <row r="103" spans="1:17">
      <c r="A103">
        <v>1102</v>
      </c>
      <c r="B103" s="3">
        <v>45916</v>
      </c>
      <c r="C103" t="s">
        <v>46</v>
      </c>
      <c r="D103" t="s">
        <v>28</v>
      </c>
      <c r="E103" t="s">
        <v>32</v>
      </c>
      <c r="F103" t="s">
        <v>25</v>
      </c>
      <c r="G103" t="s">
        <v>30</v>
      </c>
      <c r="H103">
        <v>70000</v>
      </c>
      <c r="I103">
        <v>33600</v>
      </c>
      <c r="J103">
        <v>27552</v>
      </c>
      <c r="K103">
        <v>17082</v>
      </c>
      <c r="L103">
        <v>12640</v>
      </c>
      <c r="M103">
        <v>10870</v>
      </c>
      <c r="N103">
        <v>4978460</v>
      </c>
      <c r="O103">
        <v>4.9000000000000004</v>
      </c>
      <c r="P103">
        <v>36</v>
      </c>
      <c r="Q103" t="s">
        <v>33</v>
      </c>
    </row>
    <row r="104" spans="1:17">
      <c r="A104">
        <v>1103</v>
      </c>
      <c r="B104" s="3">
        <v>45917</v>
      </c>
      <c r="C104" t="s">
        <v>46</v>
      </c>
      <c r="D104" t="s">
        <v>23</v>
      </c>
      <c r="E104" t="s">
        <v>32</v>
      </c>
      <c r="F104" t="s">
        <v>25</v>
      </c>
      <c r="G104" t="s">
        <v>36</v>
      </c>
      <c r="H104">
        <v>70000</v>
      </c>
      <c r="I104">
        <v>33600</v>
      </c>
      <c r="J104">
        <v>27552</v>
      </c>
      <c r="K104">
        <v>17082</v>
      </c>
      <c r="L104">
        <v>12640</v>
      </c>
      <c r="M104">
        <v>10870</v>
      </c>
      <c r="N104">
        <v>4978460</v>
      </c>
      <c r="O104">
        <v>4.9000000000000004</v>
      </c>
      <c r="P104">
        <v>23</v>
      </c>
      <c r="Q104" t="s">
        <v>27</v>
      </c>
    </row>
    <row r="105" spans="1:17">
      <c r="A105">
        <v>1104</v>
      </c>
      <c r="B105" s="3">
        <v>45904</v>
      </c>
      <c r="C105" t="s">
        <v>46</v>
      </c>
      <c r="D105" t="s">
        <v>28</v>
      </c>
      <c r="E105" t="s">
        <v>24</v>
      </c>
      <c r="F105" t="s">
        <v>25</v>
      </c>
      <c r="G105" t="s">
        <v>30</v>
      </c>
      <c r="H105">
        <v>70000</v>
      </c>
      <c r="I105">
        <v>33600</v>
      </c>
      <c r="J105">
        <v>27552</v>
      </c>
      <c r="K105">
        <v>17082</v>
      </c>
      <c r="L105">
        <v>12640</v>
      </c>
      <c r="M105">
        <v>10870</v>
      </c>
      <c r="N105">
        <v>4978460</v>
      </c>
      <c r="O105">
        <v>4.5999999999999996</v>
      </c>
      <c r="P105">
        <v>53</v>
      </c>
      <c r="Q105" t="s">
        <v>33</v>
      </c>
    </row>
    <row r="106" spans="1:17">
      <c r="A106">
        <v>1105</v>
      </c>
      <c r="B106" s="3">
        <v>45920</v>
      </c>
      <c r="C106" t="s">
        <v>46</v>
      </c>
      <c r="D106" t="s">
        <v>31</v>
      </c>
      <c r="E106" t="s">
        <v>32</v>
      </c>
      <c r="F106" t="s">
        <v>29</v>
      </c>
      <c r="G106" t="s">
        <v>36</v>
      </c>
      <c r="H106">
        <v>70000</v>
      </c>
      <c r="I106">
        <v>33600</v>
      </c>
      <c r="J106">
        <v>27552</v>
      </c>
      <c r="K106">
        <v>17082</v>
      </c>
      <c r="L106">
        <v>12640</v>
      </c>
      <c r="M106">
        <v>10870</v>
      </c>
      <c r="N106">
        <v>4978460</v>
      </c>
      <c r="O106">
        <v>4.3</v>
      </c>
      <c r="P106">
        <v>44</v>
      </c>
      <c r="Q106" t="s">
        <v>33</v>
      </c>
    </row>
    <row r="107" spans="1:17">
      <c r="A107">
        <v>1106</v>
      </c>
      <c r="B107" s="3">
        <v>45911</v>
      </c>
      <c r="C107" t="s">
        <v>46</v>
      </c>
      <c r="D107" t="s">
        <v>28</v>
      </c>
      <c r="E107" t="s">
        <v>24</v>
      </c>
      <c r="F107" t="s">
        <v>25</v>
      </c>
      <c r="G107" t="s">
        <v>36</v>
      </c>
      <c r="H107">
        <v>70000</v>
      </c>
      <c r="I107">
        <v>33600</v>
      </c>
      <c r="J107">
        <v>27552</v>
      </c>
      <c r="K107">
        <v>17082</v>
      </c>
      <c r="L107">
        <v>12640</v>
      </c>
      <c r="M107">
        <v>10870</v>
      </c>
      <c r="N107">
        <v>4978460</v>
      </c>
      <c r="O107">
        <v>4.7</v>
      </c>
      <c r="P107">
        <v>25</v>
      </c>
      <c r="Q107" t="s">
        <v>27</v>
      </c>
    </row>
    <row r="108" spans="1:17">
      <c r="A108">
        <v>1107</v>
      </c>
      <c r="B108" s="3">
        <v>45916</v>
      </c>
      <c r="C108" t="s">
        <v>46</v>
      </c>
      <c r="D108" t="s">
        <v>34</v>
      </c>
      <c r="E108" t="s">
        <v>32</v>
      </c>
      <c r="F108" t="s">
        <v>25</v>
      </c>
      <c r="G108" t="s">
        <v>36</v>
      </c>
      <c r="H108">
        <v>70000</v>
      </c>
      <c r="I108">
        <v>33600</v>
      </c>
      <c r="J108">
        <v>27552</v>
      </c>
      <c r="K108">
        <v>17082</v>
      </c>
      <c r="L108">
        <v>12640</v>
      </c>
      <c r="M108">
        <v>10870</v>
      </c>
      <c r="N108">
        <v>4978460</v>
      </c>
      <c r="O108">
        <v>4</v>
      </c>
      <c r="P108">
        <v>44</v>
      </c>
      <c r="Q108" t="s">
        <v>33</v>
      </c>
    </row>
    <row r="109" spans="1:17">
      <c r="A109">
        <v>1108</v>
      </c>
      <c r="B109" s="3">
        <v>45909</v>
      </c>
      <c r="C109" t="s">
        <v>46</v>
      </c>
      <c r="D109" t="s">
        <v>34</v>
      </c>
      <c r="E109" t="s">
        <v>24</v>
      </c>
      <c r="F109" t="s">
        <v>25</v>
      </c>
      <c r="G109" t="s">
        <v>30</v>
      </c>
      <c r="H109">
        <v>70000</v>
      </c>
      <c r="I109">
        <v>33600</v>
      </c>
      <c r="J109">
        <v>27552</v>
      </c>
      <c r="K109">
        <v>17082</v>
      </c>
      <c r="L109">
        <v>12640</v>
      </c>
      <c r="M109">
        <v>10870</v>
      </c>
      <c r="N109">
        <v>4978460</v>
      </c>
      <c r="O109">
        <v>4.2</v>
      </c>
      <c r="P109">
        <v>18</v>
      </c>
      <c r="Q109" t="s">
        <v>33</v>
      </c>
    </row>
    <row r="110" spans="1:17">
      <c r="A110">
        <v>1109</v>
      </c>
      <c r="B110" s="3">
        <v>45936</v>
      </c>
      <c r="C110" t="s">
        <v>47</v>
      </c>
      <c r="D110" t="s">
        <v>23</v>
      </c>
      <c r="E110" t="s">
        <v>24</v>
      </c>
      <c r="F110" t="s">
        <v>29</v>
      </c>
      <c r="G110" t="s">
        <v>35</v>
      </c>
      <c r="H110">
        <v>72500</v>
      </c>
      <c r="I110">
        <v>34800</v>
      </c>
      <c r="J110">
        <v>28536</v>
      </c>
      <c r="K110">
        <v>17692</v>
      </c>
      <c r="L110">
        <v>13092</v>
      </c>
      <c r="M110">
        <v>11259</v>
      </c>
      <c r="N110">
        <v>5336766</v>
      </c>
      <c r="O110">
        <v>4</v>
      </c>
      <c r="P110">
        <v>49</v>
      </c>
      <c r="Q110" t="s">
        <v>33</v>
      </c>
    </row>
    <row r="111" spans="1:17">
      <c r="A111">
        <v>1110</v>
      </c>
      <c r="B111" s="3">
        <v>45957</v>
      </c>
      <c r="C111" t="s">
        <v>47</v>
      </c>
      <c r="D111" t="s">
        <v>31</v>
      </c>
      <c r="E111" t="s">
        <v>32</v>
      </c>
      <c r="F111" t="s">
        <v>25</v>
      </c>
      <c r="G111" t="s">
        <v>36</v>
      </c>
      <c r="H111">
        <v>72500</v>
      </c>
      <c r="I111">
        <v>34800</v>
      </c>
      <c r="J111">
        <v>28536</v>
      </c>
      <c r="K111">
        <v>17692</v>
      </c>
      <c r="L111">
        <v>13092</v>
      </c>
      <c r="M111">
        <v>11259</v>
      </c>
      <c r="N111">
        <v>5336766</v>
      </c>
      <c r="O111">
        <v>3.9</v>
      </c>
      <c r="P111">
        <v>26</v>
      </c>
      <c r="Q111" t="s">
        <v>27</v>
      </c>
    </row>
    <row r="112" spans="1:17">
      <c r="A112">
        <v>1111</v>
      </c>
      <c r="B112" s="3">
        <v>45941</v>
      </c>
      <c r="C112" t="s">
        <v>47</v>
      </c>
      <c r="D112" t="s">
        <v>31</v>
      </c>
      <c r="E112" t="s">
        <v>24</v>
      </c>
      <c r="F112" t="s">
        <v>29</v>
      </c>
      <c r="G112" t="s">
        <v>39</v>
      </c>
      <c r="H112">
        <v>72500</v>
      </c>
      <c r="I112">
        <v>34800</v>
      </c>
      <c r="J112">
        <v>28536</v>
      </c>
      <c r="K112">
        <v>17692</v>
      </c>
      <c r="L112">
        <v>13092</v>
      </c>
      <c r="M112">
        <v>11259</v>
      </c>
      <c r="N112">
        <v>5336766</v>
      </c>
      <c r="O112">
        <v>4.3</v>
      </c>
      <c r="P112">
        <v>37</v>
      </c>
      <c r="Q112" t="s">
        <v>27</v>
      </c>
    </row>
    <row r="113" spans="1:17">
      <c r="A113">
        <v>1112</v>
      </c>
      <c r="B113" s="3">
        <v>45944</v>
      </c>
      <c r="C113" t="s">
        <v>47</v>
      </c>
      <c r="D113" t="s">
        <v>23</v>
      </c>
      <c r="E113" t="s">
        <v>32</v>
      </c>
      <c r="F113" t="s">
        <v>29</v>
      </c>
      <c r="G113" t="s">
        <v>26</v>
      </c>
      <c r="H113">
        <v>72500</v>
      </c>
      <c r="I113">
        <v>34800</v>
      </c>
      <c r="J113">
        <v>28536</v>
      </c>
      <c r="K113">
        <v>17692</v>
      </c>
      <c r="L113">
        <v>13092</v>
      </c>
      <c r="M113">
        <v>11259</v>
      </c>
      <c r="N113">
        <v>5336766</v>
      </c>
      <c r="O113">
        <v>3.9</v>
      </c>
      <c r="P113">
        <v>32</v>
      </c>
      <c r="Q113" t="s">
        <v>27</v>
      </c>
    </row>
    <row r="114" spans="1:17">
      <c r="A114">
        <v>1113</v>
      </c>
      <c r="B114" s="3">
        <v>45938</v>
      </c>
      <c r="C114" t="s">
        <v>47</v>
      </c>
      <c r="D114" t="s">
        <v>34</v>
      </c>
      <c r="E114" t="s">
        <v>24</v>
      </c>
      <c r="F114" t="s">
        <v>29</v>
      </c>
      <c r="G114" t="s">
        <v>35</v>
      </c>
      <c r="H114">
        <v>72500</v>
      </c>
      <c r="I114">
        <v>34800</v>
      </c>
      <c r="J114">
        <v>28536</v>
      </c>
      <c r="K114">
        <v>17692</v>
      </c>
      <c r="L114">
        <v>13092</v>
      </c>
      <c r="M114">
        <v>11259</v>
      </c>
      <c r="N114">
        <v>5336766</v>
      </c>
      <c r="O114">
        <v>4.3</v>
      </c>
      <c r="P114">
        <v>45</v>
      </c>
      <c r="Q114" t="s">
        <v>27</v>
      </c>
    </row>
    <row r="115" spans="1:17">
      <c r="A115">
        <v>1114</v>
      </c>
      <c r="B115" s="3">
        <v>45940</v>
      </c>
      <c r="C115" t="s">
        <v>47</v>
      </c>
      <c r="D115" t="s">
        <v>23</v>
      </c>
      <c r="E115" t="s">
        <v>24</v>
      </c>
      <c r="F115" t="s">
        <v>29</v>
      </c>
      <c r="G115" t="s">
        <v>30</v>
      </c>
      <c r="H115">
        <v>72500</v>
      </c>
      <c r="I115">
        <v>34800</v>
      </c>
      <c r="J115">
        <v>28536</v>
      </c>
      <c r="K115">
        <v>17692</v>
      </c>
      <c r="L115">
        <v>13092</v>
      </c>
      <c r="M115">
        <v>11259</v>
      </c>
      <c r="N115">
        <v>5336766</v>
      </c>
      <c r="O115">
        <v>3.9</v>
      </c>
      <c r="P115">
        <v>39</v>
      </c>
      <c r="Q115" t="s">
        <v>33</v>
      </c>
    </row>
    <row r="116" spans="1:17">
      <c r="A116">
        <v>1115</v>
      </c>
      <c r="B116" s="3">
        <v>45940</v>
      </c>
      <c r="C116" t="s">
        <v>47</v>
      </c>
      <c r="D116" t="s">
        <v>34</v>
      </c>
      <c r="E116" t="s">
        <v>37</v>
      </c>
      <c r="F116" t="s">
        <v>29</v>
      </c>
      <c r="G116" t="s">
        <v>30</v>
      </c>
      <c r="H116">
        <v>72500</v>
      </c>
      <c r="I116">
        <v>34800</v>
      </c>
      <c r="J116">
        <v>28536</v>
      </c>
      <c r="K116">
        <v>17692</v>
      </c>
      <c r="L116">
        <v>13092</v>
      </c>
      <c r="M116">
        <v>11259</v>
      </c>
      <c r="N116">
        <v>5336766</v>
      </c>
      <c r="O116">
        <v>4.7</v>
      </c>
      <c r="P116">
        <v>50</v>
      </c>
      <c r="Q116" t="s">
        <v>27</v>
      </c>
    </row>
    <row r="117" spans="1:17">
      <c r="A117">
        <v>1116</v>
      </c>
      <c r="B117" s="3">
        <v>45951</v>
      </c>
      <c r="C117" t="s">
        <v>47</v>
      </c>
      <c r="D117" t="s">
        <v>28</v>
      </c>
      <c r="E117" t="s">
        <v>32</v>
      </c>
      <c r="F117" t="s">
        <v>25</v>
      </c>
      <c r="G117" t="s">
        <v>30</v>
      </c>
      <c r="H117">
        <v>72500</v>
      </c>
      <c r="I117">
        <v>34800</v>
      </c>
      <c r="J117">
        <v>28536</v>
      </c>
      <c r="K117">
        <v>17692</v>
      </c>
      <c r="L117">
        <v>13092</v>
      </c>
      <c r="M117">
        <v>11259</v>
      </c>
      <c r="N117">
        <v>5336766</v>
      </c>
      <c r="O117">
        <v>4.2</v>
      </c>
      <c r="P117">
        <v>26</v>
      </c>
      <c r="Q117" t="s">
        <v>33</v>
      </c>
    </row>
    <row r="118" spans="1:17">
      <c r="A118">
        <v>1117</v>
      </c>
      <c r="B118" s="3">
        <v>45952</v>
      </c>
      <c r="C118" t="s">
        <v>47</v>
      </c>
      <c r="D118" t="s">
        <v>31</v>
      </c>
      <c r="E118" t="s">
        <v>24</v>
      </c>
      <c r="F118" t="s">
        <v>29</v>
      </c>
      <c r="G118" t="s">
        <v>35</v>
      </c>
      <c r="H118">
        <v>72500</v>
      </c>
      <c r="I118">
        <v>34800</v>
      </c>
      <c r="J118">
        <v>28536</v>
      </c>
      <c r="K118">
        <v>17692</v>
      </c>
      <c r="L118">
        <v>13092</v>
      </c>
      <c r="M118">
        <v>11259</v>
      </c>
      <c r="N118">
        <v>5336766</v>
      </c>
      <c r="O118">
        <v>4.8</v>
      </c>
      <c r="P118">
        <v>41</v>
      </c>
      <c r="Q118" t="s">
        <v>27</v>
      </c>
    </row>
    <row r="119" spans="1:17">
      <c r="A119">
        <v>1118</v>
      </c>
      <c r="B119" s="3">
        <v>45937</v>
      </c>
      <c r="C119" t="s">
        <v>47</v>
      </c>
      <c r="D119" t="s">
        <v>28</v>
      </c>
      <c r="E119" t="s">
        <v>24</v>
      </c>
      <c r="F119" t="s">
        <v>25</v>
      </c>
      <c r="G119" t="s">
        <v>36</v>
      </c>
      <c r="H119">
        <v>72500</v>
      </c>
      <c r="I119">
        <v>34800</v>
      </c>
      <c r="J119">
        <v>28536</v>
      </c>
      <c r="K119">
        <v>17692</v>
      </c>
      <c r="L119">
        <v>13092</v>
      </c>
      <c r="M119">
        <v>11259</v>
      </c>
      <c r="N119">
        <v>5336766</v>
      </c>
      <c r="O119">
        <v>4.5</v>
      </c>
      <c r="P119">
        <v>41</v>
      </c>
      <c r="Q119" t="s">
        <v>27</v>
      </c>
    </row>
    <row r="120" spans="1:17">
      <c r="A120">
        <v>1119</v>
      </c>
      <c r="B120" s="3">
        <v>45955</v>
      </c>
      <c r="C120" t="s">
        <v>47</v>
      </c>
      <c r="D120" t="s">
        <v>28</v>
      </c>
      <c r="E120" t="s">
        <v>24</v>
      </c>
      <c r="F120" t="s">
        <v>29</v>
      </c>
      <c r="G120" t="s">
        <v>26</v>
      </c>
      <c r="H120">
        <v>72500</v>
      </c>
      <c r="I120">
        <v>34800</v>
      </c>
      <c r="J120">
        <v>28536</v>
      </c>
      <c r="K120">
        <v>17692</v>
      </c>
      <c r="L120">
        <v>13092</v>
      </c>
      <c r="M120">
        <v>11259</v>
      </c>
      <c r="N120">
        <v>5336766</v>
      </c>
      <c r="O120">
        <v>4.5999999999999996</v>
      </c>
      <c r="P120">
        <v>37</v>
      </c>
      <c r="Q120" t="s">
        <v>27</v>
      </c>
    </row>
    <row r="121" spans="1:17">
      <c r="A121">
        <v>1120</v>
      </c>
      <c r="B121" s="3">
        <v>45933</v>
      </c>
      <c r="C121" t="s">
        <v>47</v>
      </c>
      <c r="D121" t="s">
        <v>28</v>
      </c>
      <c r="E121" t="s">
        <v>37</v>
      </c>
      <c r="F121" t="s">
        <v>29</v>
      </c>
      <c r="G121" t="s">
        <v>39</v>
      </c>
      <c r="H121">
        <v>72500</v>
      </c>
      <c r="I121">
        <v>34800</v>
      </c>
      <c r="J121">
        <v>28536</v>
      </c>
      <c r="K121">
        <v>17692</v>
      </c>
      <c r="L121">
        <v>13092</v>
      </c>
      <c r="M121">
        <v>11259</v>
      </c>
      <c r="N121">
        <v>5336766</v>
      </c>
      <c r="O121">
        <v>4.9000000000000004</v>
      </c>
      <c r="P121">
        <v>36</v>
      </c>
      <c r="Q121" t="s">
        <v>33</v>
      </c>
    </row>
    <row r="122" spans="1:17">
      <c r="A122">
        <v>1121</v>
      </c>
      <c r="B122" s="3">
        <v>45974</v>
      </c>
      <c r="C122" t="s">
        <v>48</v>
      </c>
      <c r="D122" t="s">
        <v>23</v>
      </c>
      <c r="E122" t="s">
        <v>24</v>
      </c>
      <c r="F122" t="s">
        <v>25</v>
      </c>
      <c r="G122" t="s">
        <v>39</v>
      </c>
      <c r="H122">
        <v>75000</v>
      </c>
      <c r="I122">
        <v>36000</v>
      </c>
      <c r="J122">
        <v>29520</v>
      </c>
      <c r="K122">
        <v>18302</v>
      </c>
      <c r="L122">
        <v>13543</v>
      </c>
      <c r="M122">
        <v>11646</v>
      </c>
      <c r="N122">
        <v>5019426</v>
      </c>
      <c r="O122">
        <v>4.4000000000000004</v>
      </c>
      <c r="P122">
        <v>51</v>
      </c>
      <c r="Q122" t="s">
        <v>27</v>
      </c>
    </row>
    <row r="123" spans="1:17">
      <c r="A123">
        <v>1122</v>
      </c>
      <c r="B123" s="3">
        <v>45979</v>
      </c>
      <c r="C123" t="s">
        <v>48</v>
      </c>
      <c r="D123" t="s">
        <v>28</v>
      </c>
      <c r="E123" t="s">
        <v>24</v>
      </c>
      <c r="F123" t="s">
        <v>29</v>
      </c>
      <c r="G123" t="s">
        <v>39</v>
      </c>
      <c r="H123">
        <v>75000</v>
      </c>
      <c r="I123">
        <v>36000</v>
      </c>
      <c r="J123">
        <v>29520</v>
      </c>
      <c r="K123">
        <v>18302</v>
      </c>
      <c r="L123">
        <v>13543</v>
      </c>
      <c r="M123">
        <v>11646</v>
      </c>
      <c r="N123">
        <v>5019426</v>
      </c>
      <c r="O123">
        <v>4.4000000000000004</v>
      </c>
      <c r="P123">
        <v>24</v>
      </c>
      <c r="Q123" t="s">
        <v>33</v>
      </c>
    </row>
    <row r="124" spans="1:17">
      <c r="A124">
        <v>1123</v>
      </c>
      <c r="B124" s="3">
        <v>45963</v>
      </c>
      <c r="C124" t="s">
        <v>48</v>
      </c>
      <c r="D124" t="s">
        <v>23</v>
      </c>
      <c r="E124" t="s">
        <v>37</v>
      </c>
      <c r="F124" t="s">
        <v>29</v>
      </c>
      <c r="G124" t="s">
        <v>30</v>
      </c>
      <c r="H124">
        <v>75000</v>
      </c>
      <c r="I124">
        <v>36000</v>
      </c>
      <c r="J124">
        <v>29520</v>
      </c>
      <c r="K124">
        <v>18302</v>
      </c>
      <c r="L124">
        <v>13543</v>
      </c>
      <c r="M124">
        <v>11646</v>
      </c>
      <c r="N124">
        <v>5019426</v>
      </c>
      <c r="O124">
        <v>4.0999999999999996</v>
      </c>
      <c r="P124">
        <v>18</v>
      </c>
      <c r="Q124" t="s">
        <v>33</v>
      </c>
    </row>
    <row r="125" spans="1:17">
      <c r="A125">
        <v>1124</v>
      </c>
      <c r="B125" s="3">
        <v>45987</v>
      </c>
      <c r="C125" t="s">
        <v>48</v>
      </c>
      <c r="D125" t="s">
        <v>34</v>
      </c>
      <c r="E125" t="s">
        <v>32</v>
      </c>
      <c r="F125" t="s">
        <v>29</v>
      </c>
      <c r="G125" t="s">
        <v>36</v>
      </c>
      <c r="H125">
        <v>75000</v>
      </c>
      <c r="I125">
        <v>36000</v>
      </c>
      <c r="J125">
        <v>29520</v>
      </c>
      <c r="K125">
        <v>18302</v>
      </c>
      <c r="L125">
        <v>13543</v>
      </c>
      <c r="M125">
        <v>11646</v>
      </c>
      <c r="N125">
        <v>5019426</v>
      </c>
      <c r="O125">
        <v>4</v>
      </c>
      <c r="P125">
        <v>44</v>
      </c>
      <c r="Q125" t="s">
        <v>27</v>
      </c>
    </row>
    <row r="126" spans="1:17">
      <c r="A126">
        <v>1125</v>
      </c>
      <c r="B126" s="3">
        <v>45987</v>
      </c>
      <c r="C126" t="s">
        <v>48</v>
      </c>
      <c r="D126" t="s">
        <v>28</v>
      </c>
      <c r="E126" t="s">
        <v>32</v>
      </c>
      <c r="F126" t="s">
        <v>25</v>
      </c>
      <c r="G126" t="s">
        <v>30</v>
      </c>
      <c r="H126">
        <v>75000</v>
      </c>
      <c r="I126">
        <v>36000</v>
      </c>
      <c r="J126">
        <v>29520</v>
      </c>
      <c r="K126">
        <v>18302</v>
      </c>
      <c r="L126">
        <v>13543</v>
      </c>
      <c r="M126">
        <v>11646</v>
      </c>
      <c r="N126">
        <v>5019426</v>
      </c>
      <c r="O126">
        <v>5</v>
      </c>
      <c r="P126">
        <v>49</v>
      </c>
      <c r="Q126" t="s">
        <v>33</v>
      </c>
    </row>
    <row r="127" spans="1:17">
      <c r="A127">
        <v>1126</v>
      </c>
      <c r="B127" s="3">
        <v>45967</v>
      </c>
      <c r="C127" t="s">
        <v>48</v>
      </c>
      <c r="D127" t="s">
        <v>28</v>
      </c>
      <c r="E127" t="s">
        <v>24</v>
      </c>
      <c r="F127" t="s">
        <v>29</v>
      </c>
      <c r="G127" t="s">
        <v>35</v>
      </c>
      <c r="H127">
        <v>75000</v>
      </c>
      <c r="I127">
        <v>36000</v>
      </c>
      <c r="J127">
        <v>29520</v>
      </c>
      <c r="K127">
        <v>18302</v>
      </c>
      <c r="L127">
        <v>13543</v>
      </c>
      <c r="M127">
        <v>11646</v>
      </c>
      <c r="N127">
        <v>5019426</v>
      </c>
      <c r="O127">
        <v>4.9000000000000004</v>
      </c>
      <c r="P127">
        <v>27</v>
      </c>
      <c r="Q127" t="s">
        <v>27</v>
      </c>
    </row>
    <row r="128" spans="1:17">
      <c r="A128">
        <v>1127</v>
      </c>
      <c r="B128" s="3">
        <v>45962</v>
      </c>
      <c r="C128" t="s">
        <v>48</v>
      </c>
      <c r="D128" t="s">
        <v>34</v>
      </c>
      <c r="E128" t="s">
        <v>24</v>
      </c>
      <c r="F128" t="s">
        <v>25</v>
      </c>
      <c r="G128" t="s">
        <v>35</v>
      </c>
      <c r="H128">
        <v>75000</v>
      </c>
      <c r="I128">
        <v>36000</v>
      </c>
      <c r="J128">
        <v>29520</v>
      </c>
      <c r="K128">
        <v>18302</v>
      </c>
      <c r="L128">
        <v>13543</v>
      </c>
      <c r="M128">
        <v>11646</v>
      </c>
      <c r="N128">
        <v>5019426</v>
      </c>
      <c r="O128">
        <v>4.3</v>
      </c>
      <c r="P128">
        <v>38</v>
      </c>
      <c r="Q128" t="s">
        <v>33</v>
      </c>
    </row>
    <row r="129" spans="1:17">
      <c r="A129">
        <v>1128</v>
      </c>
      <c r="B129" s="3">
        <v>45986</v>
      </c>
      <c r="C129" t="s">
        <v>48</v>
      </c>
      <c r="D129" t="s">
        <v>31</v>
      </c>
      <c r="E129" t="s">
        <v>37</v>
      </c>
      <c r="F129" t="s">
        <v>25</v>
      </c>
      <c r="G129" t="s">
        <v>35</v>
      </c>
      <c r="H129">
        <v>75000</v>
      </c>
      <c r="I129">
        <v>36000</v>
      </c>
      <c r="J129">
        <v>29520</v>
      </c>
      <c r="K129">
        <v>18302</v>
      </c>
      <c r="L129">
        <v>13543</v>
      </c>
      <c r="M129">
        <v>11646</v>
      </c>
      <c r="N129">
        <v>5019426</v>
      </c>
      <c r="O129">
        <v>4.9000000000000004</v>
      </c>
      <c r="P129">
        <v>51</v>
      </c>
      <c r="Q129" t="s">
        <v>27</v>
      </c>
    </row>
    <row r="130" spans="1:17">
      <c r="A130">
        <v>1129</v>
      </c>
      <c r="B130" s="3">
        <v>45982</v>
      </c>
      <c r="C130" t="s">
        <v>48</v>
      </c>
      <c r="D130" t="s">
        <v>23</v>
      </c>
      <c r="E130" t="s">
        <v>24</v>
      </c>
      <c r="F130" t="s">
        <v>25</v>
      </c>
      <c r="G130" t="s">
        <v>30</v>
      </c>
      <c r="H130">
        <v>75000</v>
      </c>
      <c r="I130">
        <v>36000</v>
      </c>
      <c r="J130">
        <v>29520</v>
      </c>
      <c r="K130">
        <v>18302</v>
      </c>
      <c r="L130">
        <v>13543</v>
      </c>
      <c r="M130">
        <v>11646</v>
      </c>
      <c r="N130">
        <v>5019426</v>
      </c>
      <c r="O130">
        <v>4.7</v>
      </c>
      <c r="P130">
        <v>21</v>
      </c>
      <c r="Q130" t="s">
        <v>33</v>
      </c>
    </row>
    <row r="131" spans="1:17">
      <c r="A131">
        <v>1130</v>
      </c>
      <c r="B131" s="3">
        <v>45976</v>
      </c>
      <c r="C131" t="s">
        <v>48</v>
      </c>
      <c r="D131" t="s">
        <v>31</v>
      </c>
      <c r="E131" t="s">
        <v>37</v>
      </c>
      <c r="F131" t="s">
        <v>29</v>
      </c>
      <c r="G131" t="s">
        <v>26</v>
      </c>
      <c r="H131">
        <v>75000</v>
      </c>
      <c r="I131">
        <v>36000</v>
      </c>
      <c r="J131">
        <v>29520</v>
      </c>
      <c r="K131">
        <v>18302</v>
      </c>
      <c r="L131">
        <v>13543</v>
      </c>
      <c r="M131">
        <v>11646</v>
      </c>
      <c r="N131">
        <v>5019426</v>
      </c>
      <c r="O131">
        <v>4.0999999999999996</v>
      </c>
      <c r="P131">
        <v>53</v>
      </c>
      <c r="Q131" t="s">
        <v>33</v>
      </c>
    </row>
    <row r="132" spans="1:17">
      <c r="A132">
        <v>1131</v>
      </c>
      <c r="B132" s="3">
        <v>45985</v>
      </c>
      <c r="C132" t="s">
        <v>48</v>
      </c>
      <c r="D132" t="s">
        <v>34</v>
      </c>
      <c r="E132" t="s">
        <v>37</v>
      </c>
      <c r="F132" t="s">
        <v>29</v>
      </c>
      <c r="G132" t="s">
        <v>30</v>
      </c>
      <c r="H132">
        <v>75000</v>
      </c>
      <c r="I132">
        <v>36000</v>
      </c>
      <c r="J132">
        <v>29520</v>
      </c>
      <c r="K132">
        <v>18302</v>
      </c>
      <c r="L132">
        <v>13543</v>
      </c>
      <c r="M132">
        <v>11646</v>
      </c>
      <c r="N132">
        <v>5019426</v>
      </c>
      <c r="O132">
        <v>4.7</v>
      </c>
      <c r="P132">
        <v>34</v>
      </c>
      <c r="Q132" t="s">
        <v>33</v>
      </c>
    </row>
    <row r="133" spans="1:17">
      <c r="A133">
        <v>1132</v>
      </c>
      <c r="B133" s="3">
        <v>45972</v>
      </c>
      <c r="C133" t="s">
        <v>48</v>
      </c>
      <c r="D133" t="s">
        <v>23</v>
      </c>
      <c r="E133" t="s">
        <v>37</v>
      </c>
      <c r="F133" t="s">
        <v>25</v>
      </c>
      <c r="G133" t="s">
        <v>30</v>
      </c>
      <c r="H133">
        <v>75000</v>
      </c>
      <c r="I133">
        <v>36000</v>
      </c>
      <c r="J133">
        <v>29520</v>
      </c>
      <c r="K133">
        <v>18302</v>
      </c>
      <c r="L133">
        <v>13543</v>
      </c>
      <c r="M133">
        <v>11646</v>
      </c>
      <c r="N133">
        <v>5019426</v>
      </c>
      <c r="O133">
        <v>4.7</v>
      </c>
      <c r="P133">
        <v>47</v>
      </c>
      <c r="Q133" t="s">
        <v>27</v>
      </c>
    </row>
    <row r="134" spans="1:17">
      <c r="A134">
        <v>1133</v>
      </c>
      <c r="B134" s="3">
        <v>46012</v>
      </c>
      <c r="C134" t="s">
        <v>49</v>
      </c>
      <c r="D134" t="s">
        <v>31</v>
      </c>
      <c r="E134" t="s">
        <v>37</v>
      </c>
      <c r="F134" t="s">
        <v>25</v>
      </c>
      <c r="G134" t="s">
        <v>39</v>
      </c>
      <c r="H134">
        <v>77500</v>
      </c>
      <c r="I134">
        <v>37200</v>
      </c>
      <c r="J134">
        <v>30504</v>
      </c>
      <c r="K134">
        <v>18912</v>
      </c>
      <c r="L134">
        <v>13994</v>
      </c>
      <c r="M134">
        <v>12034</v>
      </c>
      <c r="N134">
        <v>5680048</v>
      </c>
      <c r="O134">
        <v>4.4000000000000004</v>
      </c>
      <c r="P134">
        <v>44</v>
      </c>
      <c r="Q134" t="s">
        <v>33</v>
      </c>
    </row>
    <row r="135" spans="1:17">
      <c r="A135">
        <v>1134</v>
      </c>
      <c r="B135" s="3">
        <v>46001</v>
      </c>
      <c r="C135" t="s">
        <v>49</v>
      </c>
      <c r="D135" t="s">
        <v>23</v>
      </c>
      <c r="E135" t="s">
        <v>37</v>
      </c>
      <c r="F135" t="s">
        <v>25</v>
      </c>
      <c r="G135" t="s">
        <v>39</v>
      </c>
      <c r="H135">
        <v>77500</v>
      </c>
      <c r="I135">
        <v>37200</v>
      </c>
      <c r="J135">
        <v>30504</v>
      </c>
      <c r="K135">
        <v>18912</v>
      </c>
      <c r="L135">
        <v>13994</v>
      </c>
      <c r="M135">
        <v>12034</v>
      </c>
      <c r="N135">
        <v>5680048</v>
      </c>
      <c r="O135">
        <v>3.8</v>
      </c>
      <c r="P135">
        <v>26</v>
      </c>
      <c r="Q135" t="s">
        <v>33</v>
      </c>
    </row>
    <row r="136" spans="1:17">
      <c r="A136">
        <v>1135</v>
      </c>
      <c r="B136" s="3">
        <v>46018</v>
      </c>
      <c r="C136" t="s">
        <v>49</v>
      </c>
      <c r="D136" t="s">
        <v>34</v>
      </c>
      <c r="E136" t="s">
        <v>37</v>
      </c>
      <c r="F136" t="s">
        <v>25</v>
      </c>
      <c r="G136" t="s">
        <v>35</v>
      </c>
      <c r="H136">
        <v>77500</v>
      </c>
      <c r="I136">
        <v>37200</v>
      </c>
      <c r="J136">
        <v>30504</v>
      </c>
      <c r="K136">
        <v>18912</v>
      </c>
      <c r="L136">
        <v>13994</v>
      </c>
      <c r="M136">
        <v>12034</v>
      </c>
      <c r="N136">
        <v>5680048</v>
      </c>
      <c r="O136">
        <v>4.9000000000000004</v>
      </c>
      <c r="P136">
        <v>48</v>
      </c>
      <c r="Q136" t="s">
        <v>27</v>
      </c>
    </row>
    <row r="137" spans="1:17">
      <c r="A137">
        <v>1136</v>
      </c>
      <c r="B137" s="3">
        <v>46008</v>
      </c>
      <c r="C137" t="s">
        <v>49</v>
      </c>
      <c r="D137" t="s">
        <v>28</v>
      </c>
      <c r="E137" t="s">
        <v>37</v>
      </c>
      <c r="F137" t="s">
        <v>29</v>
      </c>
      <c r="G137" t="s">
        <v>39</v>
      </c>
      <c r="H137">
        <v>77500</v>
      </c>
      <c r="I137">
        <v>37200</v>
      </c>
      <c r="J137">
        <v>30504</v>
      </c>
      <c r="K137">
        <v>18912</v>
      </c>
      <c r="L137">
        <v>13994</v>
      </c>
      <c r="M137">
        <v>12034</v>
      </c>
      <c r="N137">
        <v>5680048</v>
      </c>
      <c r="O137">
        <v>4</v>
      </c>
      <c r="P137">
        <v>46</v>
      </c>
      <c r="Q137" t="s">
        <v>27</v>
      </c>
    </row>
    <row r="138" spans="1:17">
      <c r="A138">
        <v>1137</v>
      </c>
      <c r="B138" s="3">
        <v>46006</v>
      </c>
      <c r="C138" t="s">
        <v>49</v>
      </c>
      <c r="D138" t="s">
        <v>34</v>
      </c>
      <c r="E138" t="s">
        <v>37</v>
      </c>
      <c r="F138" t="s">
        <v>29</v>
      </c>
      <c r="G138" t="s">
        <v>35</v>
      </c>
      <c r="H138">
        <v>77500</v>
      </c>
      <c r="I138">
        <v>37200</v>
      </c>
      <c r="J138">
        <v>30504</v>
      </c>
      <c r="K138">
        <v>18912</v>
      </c>
      <c r="L138">
        <v>13994</v>
      </c>
      <c r="M138">
        <v>12034</v>
      </c>
      <c r="N138">
        <v>5680048</v>
      </c>
      <c r="O138">
        <v>3.8</v>
      </c>
      <c r="P138">
        <v>48</v>
      </c>
      <c r="Q138" t="s">
        <v>27</v>
      </c>
    </row>
    <row r="139" spans="1:17">
      <c r="A139">
        <v>1138</v>
      </c>
      <c r="B139" s="3">
        <v>46000</v>
      </c>
      <c r="C139" t="s">
        <v>49</v>
      </c>
      <c r="D139" t="s">
        <v>28</v>
      </c>
      <c r="E139" t="s">
        <v>32</v>
      </c>
      <c r="F139" t="s">
        <v>25</v>
      </c>
      <c r="G139" t="s">
        <v>35</v>
      </c>
      <c r="H139">
        <v>77500</v>
      </c>
      <c r="I139">
        <v>37200</v>
      </c>
      <c r="J139">
        <v>30504</v>
      </c>
      <c r="K139">
        <v>18912</v>
      </c>
      <c r="L139">
        <v>13994</v>
      </c>
      <c r="M139">
        <v>12034</v>
      </c>
      <c r="N139">
        <v>5680048</v>
      </c>
      <c r="O139">
        <v>4.9000000000000004</v>
      </c>
      <c r="P139">
        <v>22</v>
      </c>
      <c r="Q139" t="s">
        <v>27</v>
      </c>
    </row>
    <row r="140" spans="1:17">
      <c r="A140">
        <v>1139</v>
      </c>
      <c r="B140" s="3">
        <v>46011</v>
      </c>
      <c r="C140" t="s">
        <v>49</v>
      </c>
      <c r="D140" t="s">
        <v>31</v>
      </c>
      <c r="E140" t="s">
        <v>24</v>
      </c>
      <c r="F140" t="s">
        <v>29</v>
      </c>
      <c r="G140" t="s">
        <v>26</v>
      </c>
      <c r="H140">
        <v>77500</v>
      </c>
      <c r="I140">
        <v>37200</v>
      </c>
      <c r="J140">
        <v>30504</v>
      </c>
      <c r="K140">
        <v>18912</v>
      </c>
      <c r="L140">
        <v>13994</v>
      </c>
      <c r="M140">
        <v>12034</v>
      </c>
      <c r="N140">
        <v>5680048</v>
      </c>
      <c r="O140">
        <v>4.0999999999999996</v>
      </c>
      <c r="P140">
        <v>41</v>
      </c>
      <c r="Q140" t="s">
        <v>27</v>
      </c>
    </row>
    <row r="141" spans="1:17">
      <c r="A141">
        <v>1140</v>
      </c>
      <c r="B141" s="3">
        <v>46017</v>
      </c>
      <c r="C141" t="s">
        <v>49</v>
      </c>
      <c r="D141" t="s">
        <v>28</v>
      </c>
      <c r="E141" t="s">
        <v>37</v>
      </c>
      <c r="F141" t="s">
        <v>29</v>
      </c>
      <c r="G141" t="s">
        <v>36</v>
      </c>
      <c r="H141">
        <v>77500</v>
      </c>
      <c r="I141">
        <v>37200</v>
      </c>
      <c r="J141">
        <v>30504</v>
      </c>
      <c r="K141">
        <v>18912</v>
      </c>
      <c r="L141">
        <v>13994</v>
      </c>
      <c r="M141">
        <v>12034</v>
      </c>
      <c r="N141">
        <v>5680048</v>
      </c>
      <c r="O141">
        <v>3.9</v>
      </c>
      <c r="P141">
        <v>37</v>
      </c>
      <c r="Q141" t="s">
        <v>27</v>
      </c>
    </row>
    <row r="142" spans="1:17">
      <c r="A142">
        <v>1141</v>
      </c>
      <c r="B142" s="3">
        <v>45994</v>
      </c>
      <c r="C142" t="s">
        <v>49</v>
      </c>
      <c r="D142" t="s">
        <v>34</v>
      </c>
      <c r="E142" t="s">
        <v>37</v>
      </c>
      <c r="F142" t="s">
        <v>29</v>
      </c>
      <c r="G142" t="s">
        <v>36</v>
      </c>
      <c r="H142">
        <v>77500</v>
      </c>
      <c r="I142">
        <v>37200</v>
      </c>
      <c r="J142">
        <v>30504</v>
      </c>
      <c r="K142">
        <v>18912</v>
      </c>
      <c r="L142">
        <v>13994</v>
      </c>
      <c r="M142">
        <v>12034</v>
      </c>
      <c r="N142">
        <v>5680048</v>
      </c>
      <c r="O142">
        <v>3.9</v>
      </c>
      <c r="P142">
        <v>23</v>
      </c>
      <c r="Q142" t="s">
        <v>33</v>
      </c>
    </row>
    <row r="143" spans="1:17">
      <c r="A143">
        <v>1142</v>
      </c>
      <c r="B143" s="3">
        <v>46009</v>
      </c>
      <c r="C143" t="s">
        <v>49</v>
      </c>
      <c r="D143" t="s">
        <v>23</v>
      </c>
      <c r="E143" t="s">
        <v>32</v>
      </c>
      <c r="F143" t="s">
        <v>29</v>
      </c>
      <c r="G143" t="s">
        <v>35</v>
      </c>
      <c r="H143">
        <v>77500</v>
      </c>
      <c r="I143">
        <v>37200</v>
      </c>
      <c r="J143">
        <v>30504</v>
      </c>
      <c r="K143">
        <v>18912</v>
      </c>
      <c r="L143">
        <v>13994</v>
      </c>
      <c r="M143">
        <v>12034</v>
      </c>
      <c r="N143">
        <v>5680048</v>
      </c>
      <c r="O143">
        <v>4.3</v>
      </c>
      <c r="P143">
        <v>37</v>
      </c>
      <c r="Q143" t="s">
        <v>27</v>
      </c>
    </row>
    <row r="144" spans="1:17">
      <c r="A144">
        <v>1143</v>
      </c>
      <c r="B144" s="3">
        <v>46003</v>
      </c>
      <c r="C144" t="s">
        <v>49</v>
      </c>
      <c r="D144" t="s">
        <v>23</v>
      </c>
      <c r="E144" t="s">
        <v>37</v>
      </c>
      <c r="F144" t="s">
        <v>25</v>
      </c>
      <c r="G144" t="s">
        <v>39</v>
      </c>
      <c r="H144">
        <v>77500</v>
      </c>
      <c r="I144">
        <v>37200</v>
      </c>
      <c r="J144">
        <v>30504</v>
      </c>
      <c r="K144">
        <v>18912</v>
      </c>
      <c r="L144">
        <v>13994</v>
      </c>
      <c r="M144">
        <v>12034</v>
      </c>
      <c r="N144">
        <v>5680048</v>
      </c>
      <c r="O144">
        <v>4.3</v>
      </c>
      <c r="P144">
        <v>43</v>
      </c>
      <c r="Q144" t="s">
        <v>33</v>
      </c>
    </row>
    <row r="145" spans="1:17">
      <c r="A145">
        <v>1144</v>
      </c>
      <c r="B145" s="3">
        <v>45993</v>
      </c>
      <c r="C145" t="s">
        <v>49</v>
      </c>
      <c r="D145" t="s">
        <v>34</v>
      </c>
      <c r="E145" t="s">
        <v>32</v>
      </c>
      <c r="F145" t="s">
        <v>25</v>
      </c>
      <c r="G145" t="s">
        <v>26</v>
      </c>
      <c r="H145">
        <v>77500</v>
      </c>
      <c r="I145">
        <v>37200</v>
      </c>
      <c r="J145">
        <v>30504</v>
      </c>
      <c r="K145">
        <v>18912</v>
      </c>
      <c r="L145">
        <v>13994</v>
      </c>
      <c r="M145">
        <v>12034</v>
      </c>
      <c r="N145">
        <v>5680048</v>
      </c>
      <c r="O145">
        <v>3.9</v>
      </c>
      <c r="P145">
        <v>55</v>
      </c>
      <c r="Q145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DBE4-017D-47C8-9699-738F15D04B5C}">
  <dimension ref="A3:H16"/>
  <sheetViews>
    <sheetView workbookViewId="0">
      <selection activeCell="F4" sqref="F4"/>
    </sheetView>
  </sheetViews>
  <sheetFormatPr defaultRowHeight="14.4"/>
  <cols>
    <col min="1" max="1" width="12.5546875" bestFit="1" customWidth="1"/>
    <col min="2" max="2" width="13.6640625" bestFit="1" customWidth="1"/>
    <col min="3" max="3" width="14.109375" bestFit="1" customWidth="1"/>
    <col min="4" max="4" width="22.21875" bestFit="1" customWidth="1"/>
    <col min="5" max="5" width="17.21875" bestFit="1" customWidth="1"/>
    <col min="6" max="6" width="15.5546875" bestFit="1" customWidth="1"/>
    <col min="7" max="7" width="13.109375" bestFit="1" customWidth="1"/>
    <col min="8" max="8" width="14.88671875" bestFit="1" customWidth="1"/>
  </cols>
  <sheetData>
    <row r="3" spans="1:8">
      <c r="A3" s="14" t="s">
        <v>101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</row>
    <row r="4" spans="1:8">
      <c r="A4" s="15" t="s">
        <v>22</v>
      </c>
      <c r="B4">
        <v>600000</v>
      </c>
      <c r="C4">
        <v>288000</v>
      </c>
      <c r="D4">
        <v>236160</v>
      </c>
      <c r="E4">
        <v>146412</v>
      </c>
      <c r="F4">
        <v>108336</v>
      </c>
      <c r="G4">
        <v>93168</v>
      </c>
      <c r="H4">
        <v>41366592</v>
      </c>
    </row>
    <row r="5" spans="1:8">
      <c r="A5" s="15" t="s">
        <v>38</v>
      </c>
      <c r="B5">
        <v>630000</v>
      </c>
      <c r="C5">
        <v>302400</v>
      </c>
      <c r="D5">
        <v>247968</v>
      </c>
      <c r="E5">
        <v>153732</v>
      </c>
      <c r="F5">
        <v>113760</v>
      </c>
      <c r="G5">
        <v>97824</v>
      </c>
      <c r="H5">
        <v>44509920</v>
      </c>
    </row>
    <row r="6" spans="1:8">
      <c r="A6" s="15" t="s">
        <v>40</v>
      </c>
      <c r="B6">
        <v>660000</v>
      </c>
      <c r="C6">
        <v>316800</v>
      </c>
      <c r="D6">
        <v>259776</v>
      </c>
      <c r="E6">
        <v>161052</v>
      </c>
      <c r="F6">
        <v>119172</v>
      </c>
      <c r="G6">
        <v>102480</v>
      </c>
      <c r="H6">
        <v>46320960</v>
      </c>
    </row>
    <row r="7" spans="1:8">
      <c r="A7" s="15" t="s">
        <v>41</v>
      </c>
      <c r="B7">
        <v>690000</v>
      </c>
      <c r="C7">
        <v>331200</v>
      </c>
      <c r="D7">
        <v>271584</v>
      </c>
      <c r="E7">
        <v>168372</v>
      </c>
      <c r="F7">
        <v>124584</v>
      </c>
      <c r="G7">
        <v>107136</v>
      </c>
      <c r="H7">
        <v>49603968</v>
      </c>
    </row>
    <row r="8" spans="1:8">
      <c r="A8" s="15" t="s">
        <v>42</v>
      </c>
      <c r="B8">
        <v>720000</v>
      </c>
      <c r="C8">
        <v>345600</v>
      </c>
      <c r="D8">
        <v>283392</v>
      </c>
      <c r="E8">
        <v>175692</v>
      </c>
      <c r="F8">
        <v>130008</v>
      </c>
      <c r="G8">
        <v>111804</v>
      </c>
      <c r="H8">
        <v>49864584</v>
      </c>
    </row>
    <row r="9" spans="1:8">
      <c r="A9" s="15" t="s">
        <v>43</v>
      </c>
      <c r="B9">
        <v>750000</v>
      </c>
      <c r="C9">
        <v>360000</v>
      </c>
      <c r="D9">
        <v>295200</v>
      </c>
      <c r="E9">
        <v>183024</v>
      </c>
      <c r="F9">
        <v>135432</v>
      </c>
      <c r="G9">
        <v>116460</v>
      </c>
      <c r="H9">
        <v>53455140</v>
      </c>
    </row>
    <row r="10" spans="1:8">
      <c r="A10" s="15" t="s">
        <v>44</v>
      </c>
      <c r="B10">
        <v>780000</v>
      </c>
      <c r="C10">
        <v>374400</v>
      </c>
      <c r="D10">
        <v>307008</v>
      </c>
      <c r="E10">
        <v>190344</v>
      </c>
      <c r="F10">
        <v>140844</v>
      </c>
      <c r="G10">
        <v>121116</v>
      </c>
      <c r="H10">
        <v>53048808</v>
      </c>
    </row>
    <row r="11" spans="1:8">
      <c r="A11" s="15" t="s">
        <v>45</v>
      </c>
      <c r="B11">
        <v>810000</v>
      </c>
      <c r="C11">
        <v>388800</v>
      </c>
      <c r="D11">
        <v>318816</v>
      </c>
      <c r="E11">
        <v>197664</v>
      </c>
      <c r="F11">
        <v>146268</v>
      </c>
      <c r="G11">
        <v>125784</v>
      </c>
      <c r="H11">
        <v>55848096</v>
      </c>
    </row>
    <row r="12" spans="1:8">
      <c r="A12" s="15" t="s">
        <v>46</v>
      </c>
      <c r="B12">
        <v>840000</v>
      </c>
      <c r="C12">
        <v>403200</v>
      </c>
      <c r="D12">
        <v>330624</v>
      </c>
      <c r="E12">
        <v>204984</v>
      </c>
      <c r="F12">
        <v>151680</v>
      </c>
      <c r="G12">
        <v>130440</v>
      </c>
      <c r="H12">
        <v>59741520</v>
      </c>
    </row>
    <row r="13" spans="1:8">
      <c r="A13" s="15" t="s">
        <v>47</v>
      </c>
      <c r="B13">
        <v>870000</v>
      </c>
      <c r="C13">
        <v>417600</v>
      </c>
      <c r="D13">
        <v>342432</v>
      </c>
      <c r="E13">
        <v>212304</v>
      </c>
      <c r="F13">
        <v>157104</v>
      </c>
      <c r="G13">
        <v>135108</v>
      </c>
      <c r="H13">
        <v>64041192</v>
      </c>
    </row>
    <row r="14" spans="1:8">
      <c r="A14" s="15" t="s">
        <v>48</v>
      </c>
      <c r="B14">
        <v>900000</v>
      </c>
      <c r="C14">
        <v>432000</v>
      </c>
      <c r="D14">
        <v>354240</v>
      </c>
      <c r="E14">
        <v>219624</v>
      </c>
      <c r="F14">
        <v>162516</v>
      </c>
      <c r="G14">
        <v>139752</v>
      </c>
      <c r="H14">
        <v>60233112</v>
      </c>
    </row>
    <row r="15" spans="1:8">
      <c r="A15" s="15" t="s">
        <v>49</v>
      </c>
      <c r="B15">
        <v>930000</v>
      </c>
      <c r="C15">
        <v>446400</v>
      </c>
      <c r="D15">
        <v>366048</v>
      </c>
      <c r="E15">
        <v>226944</v>
      </c>
      <c r="F15">
        <v>167928</v>
      </c>
      <c r="G15">
        <v>144408</v>
      </c>
      <c r="H15">
        <v>68160576</v>
      </c>
    </row>
    <row r="16" spans="1:8">
      <c r="A16" s="15" t="s">
        <v>102</v>
      </c>
      <c r="B16">
        <v>9180000</v>
      </c>
      <c r="C16">
        <v>4406400</v>
      </c>
      <c r="D16">
        <v>3613248</v>
      </c>
      <c r="E16">
        <v>2240148</v>
      </c>
      <c r="F16">
        <v>1657632</v>
      </c>
      <c r="G16">
        <v>1425480</v>
      </c>
      <c r="H16">
        <v>646194468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AB12-F72B-4563-A92D-CA33A1F74A86}">
  <dimension ref="A1:H7"/>
  <sheetViews>
    <sheetView workbookViewId="0">
      <selection activeCell="H11" sqref="H11"/>
    </sheetView>
  </sheetViews>
  <sheetFormatPr defaultRowHeight="14.4"/>
  <cols>
    <col min="1" max="1" width="62.44140625" customWidth="1"/>
    <col min="2" max="2" width="11.5546875" bestFit="1" customWidth="1"/>
    <col min="3" max="3" width="30" customWidth="1"/>
    <col min="4" max="4" width="11.5546875" bestFit="1" customWidth="1"/>
    <col min="8" max="8" width="61.109375" customWidth="1"/>
  </cols>
  <sheetData>
    <row r="1" spans="1:8" ht="28.8">
      <c r="A1" s="8" t="s">
        <v>90</v>
      </c>
      <c r="B1" s="8" t="s">
        <v>91</v>
      </c>
      <c r="C1" s="8" t="s">
        <v>97</v>
      </c>
      <c r="D1" s="8" t="s">
        <v>92</v>
      </c>
      <c r="E1" s="8" t="s">
        <v>93</v>
      </c>
      <c r="H1" s="4" t="s">
        <v>98</v>
      </c>
    </row>
    <row r="2" spans="1:8">
      <c r="A2" s="4" t="s">
        <v>12</v>
      </c>
      <c r="B2" s="4">
        <f>SUM(Monthly_Summary!B4:B15)</f>
        <v>9180000</v>
      </c>
      <c r="C2" s="5">
        <v>1</v>
      </c>
      <c r="D2" s="16" t="s">
        <v>110</v>
      </c>
      <c r="E2" s="16" t="s">
        <v>110</v>
      </c>
      <c r="H2" s="4" t="s">
        <v>99</v>
      </c>
    </row>
    <row r="3" spans="1:8">
      <c r="A3" s="4" t="s">
        <v>94</v>
      </c>
      <c r="B3" s="4">
        <f>SUM(Monthly_Summary!C4:C15)</f>
        <v>4406400</v>
      </c>
      <c r="C3" s="4">
        <f>B3/B2</f>
        <v>0.48</v>
      </c>
      <c r="D3" s="4">
        <f>B2-B3</f>
        <v>4773600</v>
      </c>
      <c r="E3" s="4">
        <f>D3/B2</f>
        <v>0.52</v>
      </c>
      <c r="H3" s="4" t="s">
        <v>100</v>
      </c>
    </row>
    <row r="4" spans="1:8">
      <c r="A4" s="4" t="s">
        <v>14</v>
      </c>
      <c r="B4" s="4">
        <f>SUM(Monthly_Summary!D4:D15)</f>
        <v>3613248</v>
      </c>
      <c r="C4" s="4">
        <f>B4/B3</f>
        <v>0.82</v>
      </c>
      <c r="D4" s="4">
        <f>B3-B4</f>
        <v>793152</v>
      </c>
      <c r="E4" s="6">
        <f>D4/B3</f>
        <v>0.18</v>
      </c>
    </row>
    <row r="5" spans="1:8">
      <c r="A5" s="4" t="s">
        <v>15</v>
      </c>
      <c r="B5" s="4">
        <f>SUM(Monthly_Summary!E4:E15)</f>
        <v>2240148</v>
      </c>
      <c r="C5" s="4">
        <f>B5/B4</f>
        <v>0.61998180030819916</v>
      </c>
      <c r="D5" s="4">
        <f>B4-B5</f>
        <v>1373100</v>
      </c>
      <c r="E5" s="6">
        <f>D5/B4</f>
        <v>0.38001819969180084</v>
      </c>
    </row>
    <row r="6" spans="1:8">
      <c r="A6" s="4" t="s">
        <v>95</v>
      </c>
      <c r="B6" s="4">
        <f>SUM(Monthly_Summary!F4:F15)</f>
        <v>1657632</v>
      </c>
      <c r="C6" s="4">
        <f>B6/B5</f>
        <v>0.73996539514353521</v>
      </c>
      <c r="D6" s="4">
        <f>B5-B6</f>
        <v>582516</v>
      </c>
      <c r="E6" s="6">
        <f>D6/B5</f>
        <v>0.26003460485646485</v>
      </c>
    </row>
    <row r="7" spans="1:8">
      <c r="A7" s="4" t="s">
        <v>96</v>
      </c>
      <c r="B7" s="4">
        <f>SUM(Monthly_Summary!G5:G15)</f>
        <v>1332312</v>
      </c>
      <c r="C7" s="4">
        <f>B7/B6</f>
        <v>0.80374413621358665</v>
      </c>
      <c r="D7" s="4">
        <f>B6-B7</f>
        <v>325320</v>
      </c>
      <c r="E7" s="7">
        <f>D7/B6</f>
        <v>0.19625586378641338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P8" sqref="P8"/>
    </sheetView>
  </sheetViews>
  <sheetFormatPr defaultRowHeight="14.4"/>
  <cols>
    <col min="1" max="1" width="16.44140625" bestFit="1" customWidth="1"/>
    <col min="2" max="2" width="12" bestFit="1" customWidth="1"/>
  </cols>
  <sheetData>
    <row r="1" spans="1:2">
      <c r="A1" s="9" t="s">
        <v>50</v>
      </c>
      <c r="B1" s="9" t="s">
        <v>51</v>
      </c>
    </row>
    <row r="2" spans="1:2">
      <c r="A2" s="6" t="s">
        <v>52</v>
      </c>
      <c r="B2" s="6">
        <f>SUM(Raw_Data!H2:H145)</f>
        <v>9180000</v>
      </c>
    </row>
    <row r="3" spans="1:2">
      <c r="A3" s="6" t="s">
        <v>53</v>
      </c>
      <c r="B3" s="6">
        <f>SUM(Raw_Data!M2:M145)</f>
        <v>1425480</v>
      </c>
    </row>
    <row r="4" spans="1:2">
      <c r="A4" s="6" t="s">
        <v>54</v>
      </c>
      <c r="B4" s="6">
        <f>SUM(Raw_Data!N2:N145)</f>
        <v>646194468</v>
      </c>
    </row>
    <row r="5" spans="1:2">
      <c r="A5" s="6" t="s">
        <v>55</v>
      </c>
      <c r="B5" s="10">
        <f>SUM(Raw_Data!M2:M145)/SUM(Raw_Data!H2:H145)</f>
        <v>0.15528104575163398</v>
      </c>
    </row>
    <row r="6" spans="1:2">
      <c r="A6" s="6" t="s">
        <v>56</v>
      </c>
      <c r="B6" s="11">
        <f>AVERAGE(Raw_Data!O2:O145)</f>
        <v>4.380555555555552</v>
      </c>
    </row>
    <row r="7" spans="1:2">
      <c r="A7" s="6" t="s">
        <v>57</v>
      </c>
      <c r="B7" s="6">
        <f>AVERAGE(Raw_Data!P2:P145)</f>
        <v>36.680555555555557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7"/>
  <sheetViews>
    <sheetView workbookViewId="0">
      <selection activeCell="A21" sqref="A21"/>
    </sheetView>
  </sheetViews>
  <sheetFormatPr defaultRowHeight="14.4"/>
  <cols>
    <col min="1" max="1" width="108.109375" bestFit="1" customWidth="1"/>
  </cols>
  <sheetData>
    <row r="1" spans="1:1" ht="23.4">
      <c r="A1" s="13" t="s">
        <v>58</v>
      </c>
    </row>
    <row r="2" spans="1:1">
      <c r="A2" s="6"/>
    </row>
    <row r="3" spans="1:1">
      <c r="A3" s="6" t="s">
        <v>59</v>
      </c>
    </row>
    <row r="4" spans="1:1">
      <c r="A4" s="6" t="s">
        <v>60</v>
      </c>
    </row>
    <row r="5" spans="1:1">
      <c r="A5" s="6" t="s">
        <v>61</v>
      </c>
    </row>
    <row r="6" spans="1:1">
      <c r="A6" s="6" t="s">
        <v>62</v>
      </c>
    </row>
    <row r="7" spans="1:1">
      <c r="A7" s="6" t="s">
        <v>63</v>
      </c>
    </row>
    <row r="8" spans="1:1">
      <c r="A8" s="6" t="s">
        <v>64</v>
      </c>
    </row>
    <row r="9" spans="1:1">
      <c r="A9" s="6" t="s">
        <v>65</v>
      </c>
    </row>
    <row r="10" spans="1:1">
      <c r="A10" s="6" t="s">
        <v>66</v>
      </c>
    </row>
    <row r="11" spans="1:1">
      <c r="A11" s="6" t="s">
        <v>67</v>
      </c>
    </row>
    <row r="12" spans="1:1">
      <c r="A12" s="6" t="s">
        <v>68</v>
      </c>
    </row>
    <row r="13" spans="1:1">
      <c r="A13" s="6" t="s">
        <v>69</v>
      </c>
    </row>
    <row r="14" spans="1:1">
      <c r="A14" s="6" t="s">
        <v>70</v>
      </c>
    </row>
    <row r="15" spans="1:1">
      <c r="A15" s="6" t="s">
        <v>71</v>
      </c>
    </row>
    <row r="16" spans="1:1">
      <c r="A16" s="6" t="s">
        <v>72</v>
      </c>
    </row>
    <row r="17" spans="1:1">
      <c r="A17" s="6" t="s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tabSelected="1" workbookViewId="0">
      <selection activeCell="G21" sqref="G21"/>
    </sheetView>
  </sheetViews>
  <sheetFormatPr defaultRowHeight="14.4"/>
  <cols>
    <col min="2" max="2" width="32.44140625" bestFit="1" customWidth="1"/>
    <col min="3" max="3" width="21.44140625" bestFit="1" customWidth="1"/>
  </cols>
  <sheetData>
    <row r="1" spans="1:3">
      <c r="A1" s="12" t="s">
        <v>74</v>
      </c>
      <c r="B1" s="12" t="s">
        <v>75</v>
      </c>
      <c r="C1" s="12" t="s">
        <v>76</v>
      </c>
    </row>
    <row r="2" spans="1:3">
      <c r="A2" s="6" t="s">
        <v>77</v>
      </c>
      <c r="B2" s="6" t="s">
        <v>78</v>
      </c>
      <c r="C2" s="6" t="s">
        <v>79</v>
      </c>
    </row>
    <row r="3" spans="1:3">
      <c r="A3" s="6" t="s">
        <v>77</v>
      </c>
      <c r="B3" s="6" t="s">
        <v>80</v>
      </c>
      <c r="C3" s="6" t="s">
        <v>81</v>
      </c>
    </row>
    <row r="4" spans="1:3">
      <c r="A4" s="6" t="s">
        <v>82</v>
      </c>
      <c r="B4" s="6" t="s">
        <v>83</v>
      </c>
      <c r="C4" s="6" t="s">
        <v>84</v>
      </c>
    </row>
    <row r="5" spans="1:3">
      <c r="A5" s="6" t="s">
        <v>82</v>
      </c>
      <c r="B5" s="6" t="s">
        <v>85</v>
      </c>
      <c r="C5" s="6" t="s">
        <v>86</v>
      </c>
    </row>
    <row r="6" spans="1:3">
      <c r="A6" s="6" t="s">
        <v>87</v>
      </c>
      <c r="B6" s="6" t="s">
        <v>88</v>
      </c>
      <c r="C6" s="6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Raw_Data</vt:lpstr>
      <vt:lpstr>Monthly_Summary</vt:lpstr>
      <vt:lpstr>Customer_Journey_Funnel</vt:lpstr>
      <vt:lpstr>KPI_Dashboard_Data</vt:lpstr>
      <vt:lpstr>Business_Insights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naveenkumar upputuri</cp:lastModifiedBy>
  <dcterms:created xsi:type="dcterms:W3CDTF">2026-07-31T12:00:23Z</dcterms:created>
  <dcterms:modified xsi:type="dcterms:W3CDTF">2026-07-31T13:06:03Z</dcterms:modified>
</cp:coreProperties>
</file>